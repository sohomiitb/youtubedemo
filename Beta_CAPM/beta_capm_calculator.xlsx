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s_mandal_northeastern_edu/Documents/Youtube_Video/Finance/"/>
    </mc:Choice>
  </mc:AlternateContent>
  <xr:revisionPtr revIDLastSave="111" documentId="11_EEB4144C56B65352B6AD7888028CE83BBD3BAF7D" xr6:coauthVersionLast="47" xr6:coauthVersionMax="47" xr10:uidLastSave="{6F556380-1124-6445-A948-BE1660394560}"/>
  <bookViews>
    <workbookView xWindow="0" yWindow="760" windowWidth="29400" windowHeight="17380" xr2:uid="{00000000-000D-0000-FFFF-FFFF00000000}"/>
  </bookViews>
  <sheets>
    <sheet name="Portfolio CAPM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F11" i="1"/>
  <c r="G11" i="1" s="1"/>
  <c r="C6" i="1"/>
  <c r="C25" i="1"/>
  <c r="H17" i="1" l="1"/>
  <c r="H18" i="1"/>
  <c r="H19" i="1"/>
  <c r="H20" i="1"/>
  <c r="H16" i="1"/>
  <c r="H22" i="1"/>
  <c r="H12" i="1"/>
  <c r="H13" i="1"/>
  <c r="H14" i="1"/>
  <c r="H15" i="1"/>
  <c r="H21" i="1"/>
  <c r="F22" i="1"/>
  <c r="G22" i="1" s="1"/>
  <c r="F12" i="1"/>
  <c r="G12" i="1" s="1"/>
  <c r="F14" i="1"/>
  <c r="G14" i="1" s="1"/>
  <c r="F16" i="1"/>
  <c r="G16" i="1" s="1"/>
  <c r="F18" i="1"/>
  <c r="G18" i="1" s="1"/>
  <c r="F20" i="1"/>
  <c r="G20" i="1" s="1"/>
  <c r="F13" i="1"/>
  <c r="G13" i="1" s="1"/>
  <c r="F15" i="1"/>
  <c r="G15" i="1" s="1"/>
  <c r="F17" i="1"/>
  <c r="G17" i="1" s="1"/>
  <c r="F19" i="1"/>
  <c r="G19" i="1" s="1"/>
  <c r="F21" i="1"/>
  <c r="G21" i="1" s="1"/>
  <c r="C7" i="1" l="1"/>
  <c r="C26" i="1" s="1"/>
  <c r="C27" i="1" s="1"/>
</calcChain>
</file>

<file path=xl/sharedStrings.xml><?xml version="1.0" encoding="utf-8"?>
<sst xmlns="http://schemas.openxmlformats.org/spreadsheetml/2006/main" count="103" uniqueCount="71">
  <si>
    <t>Portfolio Beta and CAPM Calculator</t>
  </si>
  <si>
    <t>Assumption</t>
  </si>
  <si>
    <t>Input</t>
  </si>
  <si>
    <t>Risk-free rate</t>
  </si>
  <si>
    <t>Expected market return</t>
  </si>
  <si>
    <t>Market risk premium</t>
  </si>
  <si>
    <t>Portfolio beta</t>
  </si>
  <si>
    <t>Ticker</t>
  </si>
  <si>
    <t>Investment ($)</t>
  </si>
  <si>
    <t>Beta (copy from Yahoo)</t>
  </si>
  <si>
    <t>Include?</t>
  </si>
  <si>
    <t>Weight</t>
  </si>
  <si>
    <t>Weighted Beta</t>
  </si>
  <si>
    <t>CAPM Expected Return</t>
  </si>
  <si>
    <t>Notes</t>
  </si>
  <si>
    <t>CM.TO</t>
  </si>
  <si>
    <t>ENB.TO</t>
  </si>
  <si>
    <t>TD.TO</t>
  </si>
  <si>
    <t>TRP.TO</t>
  </si>
  <si>
    <t>Summary</t>
  </si>
  <si>
    <t>Total investment used</t>
  </si>
  <si>
    <t>Portfolio CAPM expected return</t>
  </si>
  <si>
    <t>How to Use This Workbook</t>
  </si>
  <si>
    <t>Step</t>
  </si>
  <si>
    <t>What to do</t>
  </si>
  <si>
    <t>Enter or change tickers and investment amounts on the Portfolio CAPM sheet.</t>
  </si>
  <si>
    <t>Copy each stock beta from Yahoo Finance into the yellow Beta column.</t>
  </si>
  <si>
    <t>Update the risk-free rate and expected market return in the yellow assumption cells.</t>
  </si>
  <si>
    <t>Rows with blank beta are excluded automatically from portfolio beta.</t>
  </si>
  <si>
    <t>CAPM formula used: Risk-free rate + Beta × (Market return − Risk-free rate).</t>
  </si>
  <si>
    <t>Yahoo Finance location</t>
  </si>
  <si>
    <t>1</t>
  </si>
  <si>
    <t>Go to Yahoo Finance and search ticker, for example TD.TO.</t>
  </si>
  <si>
    <t>2</t>
  </si>
  <si>
    <t>Open the Statistics page.</t>
  </si>
  <si>
    <t>3</t>
  </si>
  <si>
    <t>Copy the Beta value and paste it into column C.</t>
  </si>
  <si>
    <t>4</t>
  </si>
  <si>
    <t>If Yahoo does not show beta, leave it blank.</t>
  </si>
  <si>
    <t>Source / Formula</t>
  </si>
  <si>
    <t>URL</t>
  </si>
  <si>
    <t>Yahoo Finance beta input</t>
  </si>
  <si>
    <t>https://finance.yahoo.com</t>
  </si>
  <si>
    <t>CAPM formula reference</t>
  </si>
  <si>
    <t>https://corporatefinanceinstitute.com/resources/valuation/what-is-capm-formula/</t>
  </si>
  <si>
    <t>Yes</t>
  </si>
  <si>
    <t>Company</t>
  </si>
  <si>
    <t>Royal Bank of Canada</t>
  </si>
  <si>
    <t>RY.TO</t>
  </si>
  <si>
    <t>Toronto-Dominion Bank</t>
  </si>
  <si>
    <t>Bank of Montreal</t>
  </si>
  <si>
    <t>BMO.TO</t>
  </si>
  <si>
    <t>Brookfield Corporation</t>
  </si>
  <si>
    <t>BN.TO</t>
  </si>
  <si>
    <t>Canadian Imperial Bank of Commerce</t>
  </si>
  <si>
    <t>Canadian Pacific Kansas City</t>
  </si>
  <si>
    <t>CP.TO</t>
  </si>
  <si>
    <t>Enbridge</t>
  </si>
  <si>
    <t>Manulife Financial</t>
  </si>
  <si>
    <t>MFC.TO</t>
  </si>
  <si>
    <t>Cash</t>
  </si>
  <si>
    <t>CASH</t>
  </si>
  <si>
    <t>TC Energy</t>
  </si>
  <si>
    <t>Portfolio Weight</t>
  </si>
  <si>
    <t>Beta</t>
  </si>
  <si>
    <t>Enbridge Inc.</t>
  </si>
  <si>
    <t>TC Energy Corporation</t>
  </si>
  <si>
    <t>Microsoft</t>
  </si>
  <si>
    <t>Google</t>
  </si>
  <si>
    <t>MSFT.TO</t>
  </si>
  <si>
    <t>GooG.TO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</si>
</sst>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(\$#,##0.00\);\-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/>
    <xf numFmtId="0" fontId="2" fillId="0" borderId="0" xfId="0" applyFont="1"/>
    <xf numFmtId="10" fontId="3" fillId="4" borderId="0" xfId="0" applyNumberFormat="1" applyFont="1" applyFill="1"/>
    <xf numFmtId="10" fontId="0" fillId="0" borderId="0" xfId="0" applyNumberFormat="1"/>
    <xf numFmtId="2" fontId="0" fillId="0" borderId="0" xfId="0" applyNumberFormat="1"/>
    <xf numFmtId="0" fontId="4" fillId="2" borderId="0" xfId="0" applyFont="1" applyFill="1"/>
    <xf numFmtId="0" fontId="4" fillId="2" borderId="0" xfId="0" applyFont="1" applyFill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1" xfId="0" applyNumberFormat="1" applyBorder="1"/>
    <xf numFmtId="2" fontId="3" fillId="4" borderId="4" xfId="0" applyNumberFormat="1" applyFont="1" applyFill="1" applyBorder="1"/>
    <xf numFmtId="2" fontId="3" fillId="4" borderId="7" xfId="0" applyNumberFormat="1" applyFont="1" applyFill="1" applyBorder="1"/>
    <xf numFmtId="10" fontId="0" fillId="0" borderId="1" xfId="0" applyNumberFormat="1" applyBorder="1"/>
    <xf numFmtId="10" fontId="0" fillId="0" borderId="4" xfId="0" applyNumberFormat="1" applyBorder="1"/>
    <xf numFmtId="10" fontId="0" fillId="0" borderId="7" xfId="0" applyNumberFormat="1" applyBorder="1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200703</xdr:colOff>
      <xdr:row>0</xdr:row>
      <xdr:rowOff>206744</xdr:rowOff>
    </xdr:from>
    <xdr:to>
      <xdr:col>35</xdr:col>
      <xdr:colOff>506688</xdr:colOff>
      <xdr:row>22</xdr:row>
      <xdr:rowOff>100584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BE2952-91B1-6676-DF9F-F382C7611188}"/>
            </a:ext>
          </a:extLst>
        </xdr:cNvPr>
        <xdr:cNvSpPr txBox="1"/>
      </xdr:nvSpPr>
      <xdr:spPr>
        <a:xfrm>
          <a:off x="24936168" y="206744"/>
          <a:ext cx="6353253" cy="414686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b="1"/>
            <a:t>Term Simple Meaning</a:t>
          </a:r>
        </a:p>
        <a:p>
          <a:endParaRPr lang="en-CA" b="1"/>
        </a:p>
        <a:p>
          <a:r>
            <a:rPr lang="en-CA" b="1">
              <a:solidFill>
                <a:schemeClr val="accent6">
                  <a:lumMod val="75000"/>
                </a:schemeClr>
              </a:solidFill>
            </a:rPr>
            <a:t>Risk-Free Rate:</a:t>
          </a:r>
          <a:r>
            <a:rPr lang="en-CA" b="1" baseline="0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en-CA">
              <a:solidFill>
                <a:schemeClr val="accent6">
                  <a:lumMod val="75000"/>
                </a:schemeClr>
              </a:solidFill>
            </a:rPr>
            <a:t>The return you can earn with virtually no risk. Usually represented by a Government of Canada bond yield. Think of it as the "safe" return available to all investors.</a:t>
          </a:r>
        </a:p>
        <a:p>
          <a:endParaRPr lang="en-CA" b="1"/>
        </a:p>
        <a:p>
          <a:r>
            <a:rPr lang="en-CA" b="1"/>
            <a:t>Expected Market Return:</a:t>
          </a:r>
        </a:p>
        <a:p>
          <a:r>
            <a:rPr lang="en-CA"/>
            <a:t>The average return investors expect from the overall stock market (e.g., S&amp;P 500 or TSX, NIFTY</a:t>
          </a:r>
          <a:r>
            <a:rPr lang="en-CA" baseline="0"/>
            <a:t> 50</a:t>
          </a:r>
          <a:r>
            <a:rPr lang="en-CA"/>
            <a:t>) over the long run.</a:t>
          </a:r>
        </a:p>
        <a:p>
          <a:endParaRPr lang="en-CA" b="1"/>
        </a:p>
        <a:p>
          <a:r>
            <a:rPr lang="en-CA" b="1">
              <a:solidFill>
                <a:schemeClr val="accent2">
                  <a:lumMod val="75000"/>
                </a:schemeClr>
              </a:solidFill>
            </a:rPr>
            <a:t>Market Risk Premium: </a:t>
          </a:r>
          <a:r>
            <a:rPr lang="en-CA">
              <a:solidFill>
                <a:schemeClr val="accent2">
                  <a:lumMod val="75000"/>
                </a:schemeClr>
              </a:solidFill>
            </a:rPr>
            <a:t>The extra return investors expect from investing in stocks instead of the risk-free investment. </a:t>
          </a:r>
        </a:p>
        <a:p>
          <a:r>
            <a:rPr lang="en-CA" b="1">
              <a:solidFill>
                <a:schemeClr val="accent2">
                  <a:lumMod val="75000"/>
                </a:schemeClr>
              </a:solidFill>
            </a:rPr>
            <a:t>Formula:</a:t>
          </a:r>
          <a:r>
            <a:rPr lang="en-CA">
              <a:solidFill>
                <a:schemeClr val="accent2">
                  <a:lumMod val="75000"/>
                </a:schemeClr>
              </a:solidFill>
            </a:rPr>
            <a:t> Market Return − Risk-Free Rate</a:t>
          </a:r>
        </a:p>
        <a:p>
          <a:endParaRPr lang="en-CA" b="1"/>
        </a:p>
        <a:p>
          <a:r>
            <a:rPr lang="en-CA" b="1">
              <a:solidFill>
                <a:schemeClr val="accent5"/>
              </a:solidFill>
            </a:rPr>
            <a:t>Portfolio Beta: </a:t>
          </a:r>
          <a:r>
            <a:rPr lang="en-CA">
              <a:solidFill>
                <a:schemeClr val="accent5"/>
              </a:solidFill>
            </a:rPr>
            <a:t>Measures how sensitive your portfolio is to market movements. </a:t>
          </a:r>
        </a:p>
        <a:p>
          <a:r>
            <a:rPr lang="en-CA">
              <a:solidFill>
                <a:schemeClr val="accent5"/>
              </a:solidFill>
            </a:rPr>
            <a:t>     • Beta = 1.0 → moves with the market</a:t>
          </a:r>
        </a:p>
        <a:p>
          <a:r>
            <a:rPr lang="en-CA">
              <a:solidFill>
                <a:schemeClr val="accent5"/>
              </a:solidFill>
            </a:rPr>
            <a:t>     • Beta &gt; 1.0 → more volatile than the market</a:t>
          </a:r>
        </a:p>
        <a:p>
          <a:r>
            <a:rPr lang="en-CA">
              <a:solidFill>
                <a:schemeClr val="accent5"/>
              </a:solidFill>
            </a:rPr>
            <a:t>     • Beta &lt; 1.0 → less volatile than the market</a:t>
          </a:r>
        </a:p>
        <a:p>
          <a:endParaRPr lang="en-CA" b="1"/>
        </a:p>
        <a:p>
          <a:r>
            <a:rPr lang="en-CA" b="1"/>
            <a:t>CAPM Expected Return: </a:t>
          </a:r>
          <a:r>
            <a:rPr lang="en-CA"/>
            <a:t>The return your portfolio should earn given its level of risk. It answers: "Am I being adequately compensated for the risk I'm taking?"</a:t>
          </a:r>
        </a:p>
        <a:p>
          <a:endParaRPr lang="en-CA" sz="1100"/>
        </a:p>
        <a:p>
          <a:r>
            <a:rPr lang="en-US" sz="1100"/>
            <a:t>CAPM formula used: Risk-free rate + Beta × (Market return − Risk-free rate).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5" zoomScale="172" workbookViewId="0">
      <selection activeCell="C13" sqref="C13"/>
    </sheetView>
  </sheetViews>
  <sheetFormatPr baseColWidth="10" defaultColWidth="8.83203125" defaultRowHeight="14"/>
  <cols>
    <col min="1" max="1" width="29.5" customWidth="1"/>
    <col min="2" max="2" width="23.1640625" customWidth="1"/>
    <col min="3" max="3" width="16" customWidth="1"/>
    <col min="4" max="4" width="18" customWidth="1"/>
    <col min="5" max="6" width="12" customWidth="1"/>
    <col min="7" max="7" width="16" customWidth="1"/>
    <col min="8" max="8" width="22" customWidth="1"/>
    <col min="9" max="9" width="30" customWidth="1"/>
  </cols>
  <sheetData>
    <row r="1" spans="1:9" ht="18">
      <c r="B1" s="24" t="s">
        <v>0</v>
      </c>
      <c r="C1" s="25"/>
      <c r="D1" s="25"/>
      <c r="E1" s="25"/>
      <c r="F1" s="25"/>
      <c r="G1" s="25"/>
      <c r="H1" s="25"/>
      <c r="I1" s="25"/>
    </row>
    <row r="3" spans="1:9" ht="15">
      <c r="B3" s="1" t="s">
        <v>1</v>
      </c>
      <c r="C3" s="1" t="s">
        <v>2</v>
      </c>
    </row>
    <row r="4" spans="1:9" ht="15">
      <c r="B4" s="2" t="s">
        <v>3</v>
      </c>
      <c r="C4" s="3">
        <v>0.03</v>
      </c>
    </row>
    <row r="5" spans="1:9" ht="15">
      <c r="B5" s="2" t="s">
        <v>4</v>
      </c>
      <c r="C5" s="3">
        <v>0.09</v>
      </c>
    </row>
    <row r="6" spans="1:9" ht="15">
      <c r="B6" s="2" t="s">
        <v>5</v>
      </c>
      <c r="C6" s="4">
        <f>C5-C4</f>
        <v>0.06</v>
      </c>
    </row>
    <row r="7" spans="1:9" ht="15">
      <c r="B7" s="2" t="s">
        <v>6</v>
      </c>
      <c r="C7" s="5">
        <f>SUM(G11:G22)</f>
        <v>1.0743382352941178</v>
      </c>
    </row>
    <row r="10" spans="1:9" ht="32">
      <c r="A10" s="2" t="s">
        <v>46</v>
      </c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</row>
    <row r="11" spans="1:9">
      <c r="A11" t="s">
        <v>47</v>
      </c>
      <c r="B11" t="s">
        <v>48</v>
      </c>
      <c r="C11" s="16">
        <v>1000</v>
      </c>
      <c r="D11">
        <v>0.94</v>
      </c>
      <c r="E11" s="8" t="s">
        <v>45</v>
      </c>
      <c r="F11" s="19">
        <f>IF(E11="Yes",C11/SUMIF($E$11:$E$22,"Yes",$C$11:$C$22),0)</f>
        <v>0.14705882352941177</v>
      </c>
      <c r="G11" s="19">
        <f>IF(E11="Yes",F11*D11,0)</f>
        <v>0.13823529411764707</v>
      </c>
      <c r="H11" s="19">
        <f>IF(E11="Yes",$C$4+D11*$C$6,"")</f>
        <v>8.6399999999999991E-2</v>
      </c>
      <c r="I11" s="9"/>
    </row>
    <row r="12" spans="1:9">
      <c r="A12" t="s">
        <v>49</v>
      </c>
      <c r="B12" t="s">
        <v>17</v>
      </c>
      <c r="C12" s="16">
        <v>1000</v>
      </c>
      <c r="D12">
        <v>0.88</v>
      </c>
      <c r="E12" s="11" t="s">
        <v>45</v>
      </c>
      <c r="F12" s="20">
        <f t="shared" ref="F11:F22" si="0">IF(E12="Yes",C12/SUMIF($E$11:$E$22,"Yes",$C$11:$C$22),0)</f>
        <v>0.14705882352941177</v>
      </c>
      <c r="G12" s="20">
        <f t="shared" ref="G12:G22" si="1">IF(E12="Yes",F12*D12,0)</f>
        <v>0.12941176470588237</v>
      </c>
      <c r="H12" s="20">
        <f>IF(E12="Yes",$C$4+D12*$C$6,"")</f>
        <v>8.2799999999999999E-2</v>
      </c>
      <c r="I12" s="12"/>
    </row>
    <row r="13" spans="1:9">
      <c r="A13" t="s">
        <v>50</v>
      </c>
      <c r="B13" t="s">
        <v>51</v>
      </c>
      <c r="C13" s="16">
        <v>100</v>
      </c>
      <c r="D13">
        <v>1.163</v>
      </c>
      <c r="E13" s="11" t="s">
        <v>45</v>
      </c>
      <c r="F13" s="20">
        <f t="shared" si="0"/>
        <v>1.4705882352941176E-2</v>
      </c>
      <c r="G13" s="20">
        <f t="shared" si="1"/>
        <v>1.7102941176470588E-2</v>
      </c>
      <c r="H13" s="20">
        <f>IF(E13="Yes",$C$4+D13*$C$6,"")</f>
        <v>9.9779999999999994E-2</v>
      </c>
      <c r="I13" s="12"/>
    </row>
    <row r="14" spans="1:9">
      <c r="A14" t="s">
        <v>52</v>
      </c>
      <c r="B14" t="s">
        <v>53</v>
      </c>
      <c r="C14" s="16">
        <v>100</v>
      </c>
      <c r="D14">
        <v>1.84</v>
      </c>
      <c r="E14" s="11" t="s">
        <v>45</v>
      </c>
      <c r="F14" s="20">
        <f t="shared" si="0"/>
        <v>1.4705882352941176E-2</v>
      </c>
      <c r="G14" s="20">
        <f t="shared" si="1"/>
        <v>2.7058823529411767E-2</v>
      </c>
      <c r="H14" s="20">
        <f>IF(E14="Yes",$C$4+D14*$C$6,"")</f>
        <v>0.1404</v>
      </c>
      <c r="I14" s="12"/>
    </row>
    <row r="15" spans="1:9">
      <c r="A15" t="s">
        <v>54</v>
      </c>
      <c r="B15" t="s">
        <v>15</v>
      </c>
      <c r="C15" s="16">
        <v>100</v>
      </c>
      <c r="D15">
        <v>1.278</v>
      </c>
      <c r="E15" s="11" t="s">
        <v>45</v>
      </c>
      <c r="F15" s="20">
        <f t="shared" si="0"/>
        <v>1.4705882352941176E-2</v>
      </c>
      <c r="G15" s="20">
        <f t="shared" si="1"/>
        <v>1.8794117647058822E-2</v>
      </c>
      <c r="H15" s="20">
        <f>IF(E15="Yes",$C$4+D15*$C$6,"")</f>
        <v>0.10668</v>
      </c>
      <c r="I15" s="12"/>
    </row>
    <row r="16" spans="1:9">
      <c r="A16" t="s">
        <v>55</v>
      </c>
      <c r="B16" t="s">
        <v>56</v>
      </c>
      <c r="C16" s="16">
        <v>100</v>
      </c>
      <c r="D16">
        <v>1.21</v>
      </c>
      <c r="E16" s="11" t="s">
        <v>45</v>
      </c>
      <c r="F16" s="20">
        <f t="shared" si="0"/>
        <v>1.4705882352941176E-2</v>
      </c>
      <c r="G16" s="20">
        <f t="shared" si="1"/>
        <v>1.7794117647058821E-2</v>
      </c>
      <c r="H16" s="20">
        <f>IF(E16="Yes",$C$4+D16*$C$6,"")</f>
        <v>0.1026</v>
      </c>
      <c r="I16" s="12"/>
    </row>
    <row r="17" spans="1:9">
      <c r="A17" t="s">
        <v>57</v>
      </c>
      <c r="B17" t="s">
        <v>16</v>
      </c>
      <c r="C17" s="16">
        <v>100</v>
      </c>
      <c r="D17">
        <v>0.80700000000000005</v>
      </c>
      <c r="E17" s="11" t="s">
        <v>45</v>
      </c>
      <c r="F17" s="20">
        <f t="shared" si="0"/>
        <v>1.4705882352941176E-2</v>
      </c>
      <c r="G17" s="20">
        <f t="shared" si="1"/>
        <v>1.186764705882353E-2</v>
      </c>
      <c r="H17" s="20">
        <f>IF(E17="Yes",$C$4+D17*$C$6,"")</f>
        <v>7.8420000000000004E-2</v>
      </c>
      <c r="I17" s="12"/>
    </row>
    <row r="18" spans="1:9">
      <c r="A18" t="s">
        <v>58</v>
      </c>
      <c r="B18" t="s">
        <v>59</v>
      </c>
      <c r="C18" s="16">
        <v>100</v>
      </c>
      <c r="D18">
        <v>0.78</v>
      </c>
      <c r="E18" s="11" t="s">
        <v>45</v>
      </c>
      <c r="F18" s="20">
        <f t="shared" si="0"/>
        <v>1.4705882352941176E-2</v>
      </c>
      <c r="G18" s="20">
        <f t="shared" si="1"/>
        <v>1.1470588235294118E-2</v>
      </c>
      <c r="H18" s="20">
        <f>IF(E18="Yes",$C$4+D18*$C$6,"")</f>
        <v>7.6800000000000007E-2</v>
      </c>
      <c r="I18" s="12"/>
    </row>
    <row r="19" spans="1:9">
      <c r="A19" t="s">
        <v>60</v>
      </c>
      <c r="B19" t="s">
        <v>61</v>
      </c>
      <c r="C19" s="16">
        <v>100</v>
      </c>
      <c r="D19">
        <v>0</v>
      </c>
      <c r="E19" s="11" t="s">
        <v>45</v>
      </c>
      <c r="F19" s="20">
        <f t="shared" si="0"/>
        <v>1.4705882352941176E-2</v>
      </c>
      <c r="G19" s="20">
        <f t="shared" si="1"/>
        <v>0</v>
      </c>
      <c r="H19" s="20">
        <f>IF(E19="Yes",$C$4+D19*$C$6,"")</f>
        <v>0.03</v>
      </c>
      <c r="I19" s="12"/>
    </row>
    <row r="20" spans="1:9">
      <c r="A20" t="s">
        <v>62</v>
      </c>
      <c r="B20" t="s">
        <v>18</v>
      </c>
      <c r="C20" s="16">
        <v>100</v>
      </c>
      <c r="D20">
        <v>0.97699999999999998</v>
      </c>
      <c r="E20" s="11" t="s">
        <v>45</v>
      </c>
      <c r="F20" s="20">
        <f t="shared" si="0"/>
        <v>1.4705882352941176E-2</v>
      </c>
      <c r="G20" s="20">
        <f t="shared" si="1"/>
        <v>1.4367647058823528E-2</v>
      </c>
      <c r="H20" s="20">
        <f>IF(E20="Yes",$C$4+D20*$C$6,"")</f>
        <v>8.8620000000000004E-2</v>
      </c>
      <c r="I20" s="12"/>
    </row>
    <row r="21" spans="1:9">
      <c r="A21" t="s">
        <v>67</v>
      </c>
      <c r="B21" s="10" t="s">
        <v>69</v>
      </c>
      <c r="C21" s="16">
        <v>2000</v>
      </c>
      <c r="D21" s="17">
        <v>1.1000000000000001</v>
      </c>
      <c r="E21" s="11" t="s">
        <v>45</v>
      </c>
      <c r="F21" s="20">
        <f t="shared" si="0"/>
        <v>0.29411764705882354</v>
      </c>
      <c r="G21" s="20">
        <f t="shared" si="1"/>
        <v>0.3235294117647059</v>
      </c>
      <c r="H21" s="20">
        <f>IF(E21="Yes",$C$4+D21*$C$6,"")</f>
        <v>9.6000000000000002E-2</v>
      </c>
      <c r="I21" s="12"/>
    </row>
    <row r="22" spans="1:9">
      <c r="A22" t="s">
        <v>68</v>
      </c>
      <c r="B22" s="13" t="s">
        <v>70</v>
      </c>
      <c r="C22" s="16">
        <v>2000</v>
      </c>
      <c r="D22" s="18">
        <v>1.24</v>
      </c>
      <c r="E22" s="14" t="s">
        <v>45</v>
      </c>
      <c r="F22" s="21">
        <f t="shared" si="0"/>
        <v>0.29411764705882354</v>
      </c>
      <c r="G22" s="21">
        <f t="shared" si="1"/>
        <v>0.36470588235294121</v>
      </c>
      <c r="H22" s="21">
        <f>IF(E22="Yes",$C$4+D22*$C$6,"")</f>
        <v>0.10439999999999999</v>
      </c>
      <c r="I22" s="15"/>
    </row>
    <row r="24" spans="1:9" ht="15">
      <c r="B24" s="26" t="s">
        <v>19</v>
      </c>
      <c r="C24" s="25"/>
      <c r="D24" s="25"/>
      <c r="E24" s="25"/>
    </row>
    <row r="25" spans="1:9" ht="15">
      <c r="B25" s="2" t="s">
        <v>20</v>
      </c>
      <c r="C25" s="22">
        <f>SUMIF($E$11:$E$22,"Yes",$C$11:$C$22)</f>
        <v>6800</v>
      </c>
    </row>
    <row r="26" spans="1:9" ht="15">
      <c r="B26" s="2" t="s">
        <v>6</v>
      </c>
      <c r="C26" s="5">
        <f>$C$7</f>
        <v>1.0743382352941178</v>
      </c>
    </row>
    <row r="27" spans="1:9" ht="15">
      <c r="B27" s="2" t="s">
        <v>21</v>
      </c>
      <c r="C27" s="4">
        <f>$C$4+C26*$C$6</f>
        <v>9.4460294117647059E-2</v>
      </c>
    </row>
    <row r="30" spans="1:9" ht="15">
      <c r="F30" s="2" t="s">
        <v>46</v>
      </c>
      <c r="G30" s="2" t="s">
        <v>7</v>
      </c>
      <c r="H30" s="2" t="s">
        <v>63</v>
      </c>
      <c r="I30" s="2" t="s">
        <v>64</v>
      </c>
    </row>
    <row r="31" spans="1:9">
      <c r="F31" t="s">
        <v>47</v>
      </c>
      <c r="G31" t="s">
        <v>48</v>
      </c>
      <c r="H31" s="4">
        <v>8.2000000000000003E-2</v>
      </c>
      <c r="I31">
        <v>0.94</v>
      </c>
    </row>
    <row r="32" spans="1:9">
      <c r="F32" t="s">
        <v>49</v>
      </c>
      <c r="G32" t="s">
        <v>17</v>
      </c>
      <c r="H32" s="4">
        <v>4.7E-2</v>
      </c>
      <c r="I32">
        <v>0.88</v>
      </c>
    </row>
    <row r="33" spans="6:9">
      <c r="F33" t="s">
        <v>50</v>
      </c>
      <c r="G33" t="s">
        <v>51</v>
      </c>
      <c r="H33" s="4">
        <v>4.1000000000000002E-2</v>
      </c>
      <c r="I33">
        <v>1.163</v>
      </c>
    </row>
    <row r="34" spans="6:9">
      <c r="F34" t="s">
        <v>52</v>
      </c>
      <c r="G34" t="s">
        <v>53</v>
      </c>
      <c r="H34" s="4">
        <v>3.2000000000000001E-2</v>
      </c>
      <c r="I34">
        <v>1.84</v>
      </c>
    </row>
    <row r="35" spans="6:9">
      <c r="F35" t="s">
        <v>54</v>
      </c>
      <c r="G35" t="s">
        <v>15</v>
      </c>
      <c r="H35" s="4">
        <v>3.1E-2</v>
      </c>
      <c r="I35">
        <v>1.278</v>
      </c>
    </row>
    <row r="36" spans="6:9">
      <c r="F36" t="s">
        <v>55</v>
      </c>
      <c r="G36" t="s">
        <v>56</v>
      </c>
      <c r="H36" s="4">
        <v>2.9000000000000001E-2</v>
      </c>
      <c r="I36">
        <v>1.21</v>
      </c>
    </row>
    <row r="37" spans="6:9">
      <c r="F37" t="s">
        <v>65</v>
      </c>
      <c r="G37" t="s">
        <v>16</v>
      </c>
      <c r="H37" s="4">
        <v>2.8000000000000001E-2</v>
      </c>
      <c r="I37">
        <v>0.80700000000000005</v>
      </c>
    </row>
    <row r="38" spans="6:9">
      <c r="F38" t="s">
        <v>58</v>
      </c>
      <c r="G38" t="s">
        <v>59</v>
      </c>
      <c r="H38" s="4">
        <v>2.4E-2</v>
      </c>
      <c r="I38">
        <v>0.78</v>
      </c>
    </row>
    <row r="39" spans="6:9">
      <c r="F39" t="s">
        <v>60</v>
      </c>
      <c r="G39" t="s">
        <v>61</v>
      </c>
      <c r="H39" s="4">
        <v>2.1999999999999999E-2</v>
      </c>
      <c r="I39">
        <v>0</v>
      </c>
    </row>
    <row r="40" spans="6:9">
      <c r="F40" t="s">
        <v>66</v>
      </c>
      <c r="G40" t="s">
        <v>18</v>
      </c>
      <c r="H40" s="4">
        <v>2.1000000000000001E-2</v>
      </c>
      <c r="I40">
        <v>0.97699999999999998</v>
      </c>
    </row>
  </sheetData>
  <mergeCells count="2">
    <mergeCell ref="B1:I1"/>
    <mergeCell ref="B24: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57" workbookViewId="0">
      <selection activeCell="B8" sqref="B8"/>
    </sheetView>
  </sheetViews>
  <sheetFormatPr baseColWidth="10" defaultColWidth="8.83203125" defaultRowHeight="14"/>
  <cols>
    <col min="1" max="1" width="19.5" customWidth="1"/>
    <col min="2" max="2" width="80" customWidth="1"/>
  </cols>
  <sheetData>
    <row r="1" spans="1:6" ht="18">
      <c r="A1" s="24" t="s">
        <v>22</v>
      </c>
      <c r="B1" s="25"/>
      <c r="C1" s="25"/>
      <c r="D1" s="25"/>
      <c r="E1" s="25"/>
      <c r="F1" s="25"/>
    </row>
    <row r="3" spans="1:6" ht="15">
      <c r="A3" s="6" t="s">
        <v>23</v>
      </c>
      <c r="B3" s="6" t="s">
        <v>24</v>
      </c>
    </row>
    <row r="4" spans="1:6" ht="15">
      <c r="A4">
        <v>1</v>
      </c>
      <c r="B4" s="23" t="s">
        <v>25</v>
      </c>
    </row>
    <row r="5" spans="1:6" ht="15">
      <c r="A5">
        <v>2</v>
      </c>
      <c r="B5" s="23" t="s">
        <v>26</v>
      </c>
    </row>
    <row r="6" spans="1:6" ht="15">
      <c r="A6">
        <v>3</v>
      </c>
      <c r="B6" s="23" t="s">
        <v>27</v>
      </c>
    </row>
    <row r="7" spans="1:6" ht="15">
      <c r="A7">
        <v>4</v>
      </c>
      <c r="B7" s="23" t="s">
        <v>28</v>
      </c>
    </row>
    <row r="8" spans="1:6" ht="15">
      <c r="A8">
        <v>5</v>
      </c>
      <c r="B8" s="23" t="s">
        <v>29</v>
      </c>
    </row>
    <row r="10" spans="1:6" ht="15">
      <c r="A10" s="1" t="s">
        <v>30</v>
      </c>
      <c r="B10" s="1"/>
    </row>
    <row r="11" spans="1:6">
      <c r="A11" t="s">
        <v>31</v>
      </c>
      <c r="B11" t="s">
        <v>32</v>
      </c>
    </row>
    <row r="12" spans="1:6">
      <c r="A12" t="s">
        <v>33</v>
      </c>
      <c r="B12" t="s">
        <v>34</v>
      </c>
    </row>
    <row r="13" spans="1:6">
      <c r="A13" t="s">
        <v>35</v>
      </c>
      <c r="B13" t="s">
        <v>36</v>
      </c>
    </row>
    <row r="14" spans="1:6">
      <c r="A14" t="s">
        <v>37</v>
      </c>
      <c r="B14" t="s">
        <v>38</v>
      </c>
    </row>
    <row r="16" spans="1:6" ht="15">
      <c r="A16" s="1" t="s">
        <v>39</v>
      </c>
      <c r="B16" s="1" t="s">
        <v>40</v>
      </c>
    </row>
    <row r="17" spans="1:2">
      <c r="A17" t="s">
        <v>41</v>
      </c>
      <c r="B17" t="s">
        <v>42</v>
      </c>
    </row>
    <row r="18" spans="1:2">
      <c r="A18" t="s">
        <v>43</v>
      </c>
      <c r="B18" t="s">
        <v>44</v>
      </c>
    </row>
  </sheetData>
  <mergeCells count="1">
    <mergeCell ref="A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CAPM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Mandal, Sohom</cp:lastModifiedBy>
  <dcterms:modified xsi:type="dcterms:W3CDTF">2026-06-11T03:19:34Z</dcterms:modified>
</cp:coreProperties>
</file>
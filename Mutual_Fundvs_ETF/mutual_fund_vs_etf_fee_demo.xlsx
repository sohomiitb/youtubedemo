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https://northeastern-my.sharepoint.com/personal/s_mandal_northeastern_edu/Documents/Youtube_Video/Finance/Mutual_Fund_vs_ETF/"/>
    </mc:Choice>
  </mc:AlternateContent>
  <xr:revisionPtr revIDLastSave="44" documentId="11_CC3C161B4F338F4595C6480940BD6AD855CB5A48" xr6:coauthVersionLast="47" xr6:coauthVersionMax="47" xr10:uidLastSave="{82FBDDD8-B078-1948-9F06-B8E745F21B95}"/>
  <bookViews>
    <workbookView xWindow="0" yWindow="760" windowWidth="29400" windowHeight="17380" activeTab="1" xr2:uid="{00000000-000D-0000-FFFF-FFFF00000000}"/>
  </bookViews>
  <sheets>
    <sheet name="Inputs" sheetId="1" r:id="rId1"/>
    <sheet name="Yearly Calculation" sheetId="2" r:id="rId2"/>
    <sheet name="Dashboard" sheetId="3" r:id="rId3"/>
    <sheet name="Instruc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C7" i="2"/>
  <c r="C8" i="2"/>
  <c r="B14" i="1"/>
  <c r="B13" i="1"/>
  <c r="B12" i="1"/>
  <c r="B9" i="3"/>
  <c r="B8" i="3"/>
  <c r="B7" i="3"/>
  <c r="F6" i="3"/>
  <c r="G6" i="3" s="1"/>
  <c r="E6" i="3"/>
  <c r="B6" i="3"/>
  <c r="B5" i="3"/>
  <c r="F4" i="3"/>
  <c r="C14" i="3" s="1"/>
  <c r="B4" i="3"/>
  <c r="G34" i="2"/>
  <c r="D34" i="2"/>
  <c r="C34" i="2"/>
  <c r="G33" i="2"/>
  <c r="D33" i="2"/>
  <c r="C33" i="2"/>
  <c r="G32" i="2"/>
  <c r="D32" i="2"/>
  <c r="C32" i="2"/>
  <c r="G31" i="2"/>
  <c r="D31" i="2"/>
  <c r="C31" i="2"/>
  <c r="G30" i="2"/>
  <c r="C30" i="2"/>
  <c r="G29" i="2"/>
  <c r="C29" i="2"/>
  <c r="G28" i="2"/>
  <c r="C28" i="2"/>
  <c r="G27" i="2"/>
  <c r="D27" i="2"/>
  <c r="C27" i="2"/>
  <c r="G26" i="2"/>
  <c r="D26" i="2"/>
  <c r="C26" i="2"/>
  <c r="G25" i="2"/>
  <c r="D25" i="2"/>
  <c r="C25" i="2"/>
  <c r="G24" i="2"/>
  <c r="D24" i="2"/>
  <c r="C24" i="2"/>
  <c r="G23" i="2"/>
  <c r="D23" i="2"/>
  <c r="C23" i="2"/>
  <c r="G22" i="2"/>
  <c r="C22" i="2"/>
  <c r="G21" i="2"/>
  <c r="C21" i="2"/>
  <c r="G20" i="2"/>
  <c r="C20" i="2"/>
  <c r="G19" i="2"/>
  <c r="D19" i="2"/>
  <c r="C19" i="2"/>
  <c r="G18" i="2"/>
  <c r="D18" i="2"/>
  <c r="C18" i="2"/>
  <c r="G17" i="2"/>
  <c r="D17" i="2"/>
  <c r="C17" i="2"/>
  <c r="G16" i="2"/>
  <c r="D16" i="2"/>
  <c r="C16" i="2"/>
  <c r="G15" i="2"/>
  <c r="D15" i="2"/>
  <c r="C15" i="2"/>
  <c r="G14" i="2"/>
  <c r="C14" i="2"/>
  <c r="G13" i="2"/>
  <c r="C13" i="2"/>
  <c r="G12" i="2"/>
  <c r="C12" i="2"/>
  <c r="G11" i="2"/>
  <c r="D11" i="2"/>
  <c r="C11" i="2"/>
  <c r="G10" i="2"/>
  <c r="D10" i="2"/>
  <c r="C10" i="2"/>
  <c r="G9" i="2"/>
  <c r="D9" i="2"/>
  <c r="C9" i="2"/>
  <c r="G8" i="2"/>
  <c r="D8" i="2"/>
  <c r="G7" i="2"/>
  <c r="D7" i="2"/>
  <c r="G6" i="2"/>
  <c r="G5" i="2"/>
  <c r="C5" i="2"/>
  <c r="F4" i="2"/>
  <c r="H4" i="2" s="1"/>
  <c r="F5" i="2" s="1"/>
  <c r="H5" i="2" s="1"/>
  <c r="F6" i="2" s="1"/>
  <c r="H6" i="2" s="1"/>
  <c r="F7" i="2" s="1"/>
  <c r="H7" i="2" s="1"/>
  <c r="F8" i="2" s="1"/>
  <c r="H8" i="2" s="1"/>
  <c r="F9" i="2" s="1"/>
  <c r="H9" i="2" s="1"/>
  <c r="F10" i="2" s="1"/>
  <c r="H10" i="2" s="1"/>
  <c r="F11" i="2" s="1"/>
  <c r="H11" i="2" s="1"/>
  <c r="F12" i="2" s="1"/>
  <c r="H12" i="2" s="1"/>
  <c r="F13" i="2" s="1"/>
  <c r="H13" i="2" s="1"/>
  <c r="F14" i="2" s="1"/>
  <c r="H14" i="2" s="1"/>
  <c r="F15" i="2" s="1"/>
  <c r="H15" i="2" s="1"/>
  <c r="F16" i="2" s="1"/>
  <c r="H16" i="2" s="1"/>
  <c r="F17" i="2" s="1"/>
  <c r="H17" i="2" s="1"/>
  <c r="F18" i="2" s="1"/>
  <c r="H18" i="2" s="1"/>
  <c r="F19" i="2" s="1"/>
  <c r="H19" i="2" s="1"/>
  <c r="F20" i="2" s="1"/>
  <c r="H20" i="2" s="1"/>
  <c r="F21" i="2" s="1"/>
  <c r="H21" i="2" s="1"/>
  <c r="F22" i="2" s="1"/>
  <c r="H22" i="2" s="1"/>
  <c r="F23" i="2" s="1"/>
  <c r="H23" i="2" s="1"/>
  <c r="F24" i="2" s="1"/>
  <c r="H24" i="2" s="1"/>
  <c r="F25" i="2" s="1"/>
  <c r="H25" i="2" s="1"/>
  <c r="F26" i="2" s="1"/>
  <c r="H26" i="2" s="1"/>
  <c r="F27" i="2" s="1"/>
  <c r="H27" i="2" s="1"/>
  <c r="F28" i="2" s="1"/>
  <c r="H28" i="2" s="1"/>
  <c r="F29" i="2" s="1"/>
  <c r="H29" i="2" s="1"/>
  <c r="F30" i="2" s="1"/>
  <c r="H30" i="2" s="1"/>
  <c r="F31" i="2" s="1"/>
  <c r="H31" i="2" s="1"/>
  <c r="F32" i="2" s="1"/>
  <c r="H32" i="2" s="1"/>
  <c r="F33" i="2" s="1"/>
  <c r="H33" i="2" s="1"/>
  <c r="F34" i="2" s="1"/>
  <c r="H34" i="2" s="1"/>
  <c r="F5" i="3" s="1"/>
  <c r="E4" i="2"/>
  <c r="B5" i="2" s="1"/>
  <c r="D4" i="2"/>
  <c r="B4" i="2"/>
  <c r="E4" i="3"/>
  <c r="C13" i="3" s="1"/>
  <c r="B14" i="3" l="1"/>
  <c r="F7" i="3"/>
  <c r="G4" i="3"/>
  <c r="C15" i="3" s="1"/>
  <c r="D6" i="2"/>
  <c r="D14" i="2"/>
  <c r="D22" i="2"/>
  <c r="D30" i="2"/>
  <c r="D5" i="2"/>
  <c r="E5" i="2" s="1"/>
  <c r="B6" i="2" s="1"/>
  <c r="E6" i="2" s="1"/>
  <c r="B7" i="2" s="1"/>
  <c r="E7" i="2" s="1"/>
  <c r="B8" i="2" s="1"/>
  <c r="E8" i="2" s="1"/>
  <c r="B9" i="2" s="1"/>
  <c r="E9" i="2" s="1"/>
  <c r="B10" i="2" s="1"/>
  <c r="E10" i="2" s="1"/>
  <c r="B11" i="2" s="1"/>
  <c r="E11" i="2" s="1"/>
  <c r="B12" i="2" s="1"/>
  <c r="E12" i="2" s="1"/>
  <c r="B13" i="2" s="1"/>
  <c r="E13" i="2" s="1"/>
  <c r="B14" i="2" s="1"/>
  <c r="E14" i="2" s="1"/>
  <c r="B15" i="2" s="1"/>
  <c r="E15" i="2" s="1"/>
  <c r="B16" i="2" s="1"/>
  <c r="E16" i="2" s="1"/>
  <c r="B17" i="2" s="1"/>
  <c r="E17" i="2" s="1"/>
  <c r="B18" i="2" s="1"/>
  <c r="E18" i="2" s="1"/>
  <c r="B19" i="2" s="1"/>
  <c r="E19" i="2" s="1"/>
  <c r="B20" i="2" s="1"/>
  <c r="E20" i="2" s="1"/>
  <c r="B21" i="2" s="1"/>
  <c r="E21" i="2" s="1"/>
  <c r="B22" i="2" s="1"/>
  <c r="E22" i="2" s="1"/>
  <c r="B23" i="2" s="1"/>
  <c r="E23" i="2" s="1"/>
  <c r="B24" i="2" s="1"/>
  <c r="E24" i="2" s="1"/>
  <c r="B25" i="2" s="1"/>
  <c r="E25" i="2" s="1"/>
  <c r="B26" i="2" s="1"/>
  <c r="E26" i="2" s="1"/>
  <c r="B27" i="2" s="1"/>
  <c r="E27" i="2" s="1"/>
  <c r="B28" i="2" s="1"/>
  <c r="E28" i="2" s="1"/>
  <c r="B29" i="2" s="1"/>
  <c r="E29" i="2" s="1"/>
  <c r="B30" i="2" s="1"/>
  <c r="E30" i="2" s="1"/>
  <c r="B31" i="2" s="1"/>
  <c r="E31" i="2" s="1"/>
  <c r="B32" i="2" s="1"/>
  <c r="E32" i="2" s="1"/>
  <c r="B33" i="2" s="1"/>
  <c r="E33" i="2" s="1"/>
  <c r="B34" i="2" s="1"/>
  <c r="E34" i="2" s="1"/>
  <c r="E5" i="3" s="1"/>
  <c r="D13" i="2"/>
  <c r="D21" i="2"/>
  <c r="D29" i="2"/>
  <c r="D12" i="2"/>
  <c r="D20" i="2"/>
  <c r="D28" i="2"/>
  <c r="E7" i="3" l="1"/>
  <c r="B13" i="3"/>
  <c r="G5" i="3"/>
  <c r="G7" i="3"/>
  <c r="G8" i="3" l="1"/>
  <c r="B15" i="3"/>
  <c r="G9" i="3"/>
</calcChain>
</file>

<file path=xl/sharedStrings.xml><?xml version="1.0" encoding="utf-8"?>
<sst xmlns="http://schemas.openxmlformats.org/spreadsheetml/2006/main" count="97" uniqueCount="78">
  <si>
    <t>Mutual Fund vs ETF Fee Impact Calculator</t>
  </si>
  <si>
    <t>Input</t>
  </si>
  <si>
    <t>Value</t>
  </si>
  <si>
    <t>Format</t>
  </si>
  <si>
    <t>Notes</t>
  </si>
  <si>
    <t>Initial investment</t>
  </si>
  <si>
    <t>$</t>
  </si>
  <si>
    <t>Starting amount invested today</t>
  </si>
  <si>
    <t>Annual contribution</t>
  </si>
  <si>
    <t>Amount invested every year</t>
  </si>
  <si>
    <t>Investment period</t>
  </si>
  <si>
    <t>Years</t>
  </si>
  <si>
    <t>How long money stays invested</t>
  </si>
  <si>
    <t>Expected gross return</t>
  </si>
  <si>
    <t>%</t>
  </si>
  <si>
    <t>Annual return before fund fees</t>
  </si>
  <si>
    <t>Mutual fund MER</t>
  </si>
  <si>
    <t>Annual management expense ratio</t>
  </si>
  <si>
    <t>ETF MER</t>
  </si>
  <si>
    <t>Calculated Input</t>
  </si>
  <si>
    <t>Formula</t>
  </si>
  <si>
    <t>Meaning</t>
  </si>
  <si>
    <t>Mutual fund net return</t>
  </si>
  <si>
    <t>=Gross return - Mutual fund MER</t>
  </si>
  <si>
    <t>Return after annual fee</t>
  </si>
  <si>
    <t>ETF net return</t>
  </si>
  <si>
    <t>=Gross return - ETF MER</t>
  </si>
  <si>
    <t>Year-by-Year Growth Comparison</t>
  </si>
  <si>
    <t>Year</t>
  </si>
  <si>
    <t>Mutual Fund Start Value</t>
  </si>
  <si>
    <t>MF Contribution</t>
  </si>
  <si>
    <t>MF Net Return</t>
  </si>
  <si>
    <t>Mutual Fund End Value</t>
  </si>
  <si>
    <t>ETF Start Value</t>
  </si>
  <si>
    <t>ETF Contribution</t>
  </si>
  <si>
    <t>ETF End Value</t>
  </si>
  <si>
    <t>Mutual Fund vs ETF: Fee Impact Demo</t>
  </si>
  <si>
    <t>Key Inputs</t>
  </si>
  <si>
    <t>Summary</t>
  </si>
  <si>
    <t>Mutual Fund</t>
  </si>
  <si>
    <t>ETF</t>
  </si>
  <si>
    <t>Difference</t>
  </si>
  <si>
    <t>Net return</t>
  </si>
  <si>
    <t>Return after fees</t>
  </si>
  <si>
    <t>Ending value</t>
  </si>
  <si>
    <t>Portfolio value after selected years</t>
  </si>
  <si>
    <t>Total contributed</t>
  </si>
  <si>
    <t>Initial investment + contributions</t>
  </si>
  <si>
    <t>Investment growth</t>
  </si>
  <si>
    <t>Ending value minus contributions</t>
  </si>
  <si>
    <t>Extra ETF value</t>
  </si>
  <si>
    <t>ETF ending value minus mutual fund ending value</t>
  </si>
  <si>
    <t>Fee drag vs ETF</t>
  </si>
  <si>
    <t>Lower final value due to higher fee</t>
  </si>
  <si>
    <t>Chart Data</t>
  </si>
  <si>
    <t>Ending Value</t>
  </si>
  <si>
    <t>Net Return</t>
  </si>
  <si>
    <t>Plain English Takeaway</t>
  </si>
  <si>
    <t>Mutual funds can be useful, but higher fees reduce your final return.</t>
  </si>
  <si>
    <t>ETFs usually have lower MER, so more of the return stays invested.</t>
  </si>
  <si>
    <t>Small annual fee differences can become large over 20–30 years.</t>
  </si>
  <si>
    <t>How to Use This Workbook</t>
  </si>
  <si>
    <t>Step</t>
  </si>
  <si>
    <t>Action</t>
  </si>
  <si>
    <t>Where</t>
  </si>
  <si>
    <t>Change the assumptions</t>
  </si>
  <si>
    <t>Inputs!B4:B9</t>
  </si>
  <si>
    <t>Yellow cells are editable inputs.</t>
  </si>
  <si>
    <t>Review yearly growth</t>
  </si>
  <si>
    <t>Yearly Calculation</t>
  </si>
  <si>
    <t>This shows how the investment grows each year.</t>
  </si>
  <si>
    <t>Compare final results</t>
  </si>
  <si>
    <t>Dashboard</t>
  </si>
  <si>
    <t>Shows mutual fund vs ETF ending values.</t>
  </si>
  <si>
    <t>Use in your video</t>
  </si>
  <si>
    <t>Use the chart and summary as demo visuals.</t>
  </si>
  <si>
    <t>Important Disclaimer</t>
  </si>
  <si>
    <t>This workbook is for educational and demo purposes only. It is not financial advice. Actual investment returns, fees, taxes, and risks may differ. Please do your own research or speak with a qualified financial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</si>
</sst>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Red]\(0.00%\);\-"/>
    <numFmt numFmtId="166" formatCode="0.000%"/>
  </numFmts>
  <fonts count="5">
    <font>
      <sz val="11"/>
      <name val="Carlito"/>
    </font>
    <font>
      <b/>
      <sz val="14"/>
      <color rgb="FFFFFFFF"/>
      <name val="Carlito"/>
    </font>
    <font>
      <b/>
      <sz val="11"/>
      <color rgb="FFFFFFFF"/>
      <name val="Carlito"/>
    </font>
    <font>
      <sz val="11"/>
      <color rgb="FF0000FF"/>
      <name val="Carlito"/>
    </font>
    <font>
      <b/>
      <sz val="11"/>
      <name val="Carlito"/>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18">
    <xf numFmtId="0" fontId="0" fillId="0" borderId="0" xfId="0"/>
    <xf numFmtId="0" fontId="2" fillId="2" borderId="0" xfId="0" applyFont="1" applyFill="1" applyAlignment="1">
      <alignment horizontal="center"/>
    </xf>
    <xf numFmtId="164" fontId="3" fillId="3" borderId="0" xfId="0" applyNumberFormat="1" applyFont="1" applyFill="1"/>
    <xf numFmtId="1" fontId="3" fillId="3" borderId="0" xfId="0" applyNumberFormat="1" applyFont="1" applyFill="1"/>
    <xf numFmtId="165" fontId="3" fillId="3" borderId="0" xfId="0" applyNumberFormat="1" applyFont="1" applyFill="1"/>
    <xf numFmtId="165" fontId="0" fillId="0" borderId="0" xfId="0" applyNumberFormat="1"/>
    <xf numFmtId="0" fontId="4" fillId="0" borderId="0" xfId="0" applyFont="1"/>
    <xf numFmtId="164" fontId="0" fillId="0" borderId="0" xfId="0" applyNumberFormat="1"/>
    <xf numFmtId="1" fontId="0" fillId="0" borderId="0" xfId="0" applyNumberFormat="1"/>
    <xf numFmtId="0" fontId="2" fillId="2" borderId="0" xfId="0" applyFont="1" applyFill="1" applyAlignment="1">
      <alignment horizontal="center" wrapText="1"/>
    </xf>
    <xf numFmtId="1"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wrapText="1"/>
    </xf>
    <xf numFmtId="0" fontId="1" fillId="2" borderId="0" xfId="0" applyFont="1" applyFill="1" applyAlignment="1">
      <alignment horizontal="center" vertical="center"/>
    </xf>
    <xf numFmtId="0" fontId="2" fillId="2" borderId="0" xfId="0" applyFont="1" applyFill="1" applyAlignment="1">
      <alignment horizontal="center"/>
    </xf>
    <xf numFmtId="0" fontId="0" fillId="0" borderId="0" xfId="0" applyAlignment="1">
      <alignment wrapText="1"/>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'Yearly Calculation'!$H$3</c:f>
              <c:strCache>
                <c:ptCount val="1"/>
                <c:pt idx="0">
                  <c:v>ETF End Value</c:v>
                </c:pt>
              </c:strCache>
            </c:strRef>
          </c:tx>
          <c:spPr>
            <a:ln w="28575" cap="rnd">
              <a:solidFill>
                <a:schemeClr val="accent1"/>
              </a:solidFill>
              <a:round/>
            </a:ln>
            <a:effectLst/>
          </c:spPr>
          <c:marker>
            <c:symbol val="none"/>
          </c:marker>
          <c:val>
            <c:numRef>
              <c:f>'Yearly Calculation'!$H$4:$H$34</c:f>
              <c:numCache>
                <c:formatCode>\$#,##0;[Red]\(\$#,##0\);\-</c:formatCode>
                <c:ptCount val="31"/>
                <c:pt idx="0">
                  <c:v>10000</c:v>
                </c:pt>
                <c:pt idx="1">
                  <c:v>16170.000000000002</c:v>
                </c:pt>
                <c:pt idx="2">
                  <c:v>22821.260000000002</c:v>
                </c:pt>
                <c:pt idx="3">
                  <c:v>29991.318280000003</c:v>
                </c:pt>
                <c:pt idx="4">
                  <c:v>37720.641105840012</c:v>
                </c:pt>
                <c:pt idx="5">
                  <c:v>46052.851112095537</c:v>
                </c:pt>
                <c:pt idx="6">
                  <c:v>55034.97349883899</c:v>
                </c:pt>
                <c:pt idx="7">
                  <c:v>64717.701431748435</c:v>
                </c:pt>
                <c:pt idx="8">
                  <c:v>75155.682143424812</c:v>
                </c:pt>
                <c:pt idx="9">
                  <c:v>86407.825350611951</c:v>
                </c:pt>
                <c:pt idx="10">
                  <c:v>98537.635727959685</c:v>
                </c:pt>
                <c:pt idx="11">
                  <c:v>111613.57131474055</c:v>
                </c:pt>
                <c:pt idx="12">
                  <c:v>125709.42987729031</c:v>
                </c:pt>
                <c:pt idx="13">
                  <c:v>140904.76540771898</c:v>
                </c:pt>
                <c:pt idx="14">
                  <c:v>157285.33710952106</c:v>
                </c:pt>
                <c:pt idx="15">
                  <c:v>174943.59340406372</c:v>
                </c:pt>
                <c:pt idx="16">
                  <c:v>193979.19368958072</c:v>
                </c:pt>
                <c:pt idx="17">
                  <c:v>214499.57079736801</c:v>
                </c:pt>
                <c:pt idx="18">
                  <c:v>236620.53731956272</c:v>
                </c:pt>
                <c:pt idx="19">
                  <c:v>260466.93923048861</c:v>
                </c:pt>
                <c:pt idx="20">
                  <c:v>286173.36049046676</c:v>
                </c:pt>
                <c:pt idx="21">
                  <c:v>313884.88260872319</c:v>
                </c:pt>
                <c:pt idx="22">
                  <c:v>343757.90345220361</c:v>
                </c:pt>
                <c:pt idx="23">
                  <c:v>375961.0199214755</c:v>
                </c:pt>
                <c:pt idx="24">
                  <c:v>410675.97947535058</c:v>
                </c:pt>
                <c:pt idx="25">
                  <c:v>448098.70587442798</c:v>
                </c:pt>
                <c:pt idx="26">
                  <c:v>488440.40493263339</c:v>
                </c:pt>
                <c:pt idx="27">
                  <c:v>531928.75651737885</c:v>
                </c:pt>
                <c:pt idx="28">
                  <c:v>578809.19952573441</c:v>
                </c:pt>
                <c:pt idx="29">
                  <c:v>629346.31708874169</c:v>
                </c:pt>
                <c:pt idx="30">
                  <c:v>683825.32982166356</c:v>
                </c:pt>
              </c:numCache>
            </c:numRef>
          </c:val>
          <c:smooth val="0"/>
          <c:extLst>
            <c:ext xmlns:c16="http://schemas.microsoft.com/office/drawing/2014/chart" uri="{C3380CC4-5D6E-409C-BE32-E72D297353CC}">
              <c16:uniqueId val="{00000000-3EF4-E346-9AA5-71DF7036A9DB}"/>
            </c:ext>
          </c:extLst>
        </c:ser>
        <c:ser>
          <c:idx val="1"/>
          <c:order val="1"/>
          <c:tx>
            <c:strRef>
              <c:f>'Yearly Calculation'!$E$3</c:f>
              <c:strCache>
                <c:ptCount val="1"/>
                <c:pt idx="0">
                  <c:v>Mutual Fund End Value</c:v>
                </c:pt>
              </c:strCache>
            </c:strRef>
          </c:tx>
          <c:spPr>
            <a:ln w="28575" cap="rnd">
              <a:solidFill>
                <a:schemeClr val="accent2"/>
              </a:solidFill>
              <a:round/>
            </a:ln>
            <a:effectLst/>
          </c:spPr>
          <c:marker>
            <c:symbol val="none"/>
          </c:marker>
          <c:val>
            <c:numRef>
              <c:f>'Yearly Calculation'!$E$4:$E$34</c:f>
              <c:numCache>
                <c:formatCode>\$#,##0;[Red]\(\$#,##0\);\-</c:formatCode>
                <c:ptCount val="31"/>
                <c:pt idx="0">
                  <c:v>10000</c:v>
                </c:pt>
                <c:pt idx="1">
                  <c:v>15900</c:v>
                </c:pt>
                <c:pt idx="2">
                  <c:v>22154</c:v>
                </c:pt>
                <c:pt idx="3">
                  <c:v>28783.24</c:v>
                </c:pt>
                <c:pt idx="4">
                  <c:v>35810.234400000008</c:v>
                </c:pt>
                <c:pt idx="5">
                  <c:v>43258.84846400001</c:v>
                </c:pt>
                <c:pt idx="6">
                  <c:v>51154.379371840012</c:v>
                </c:pt>
                <c:pt idx="7">
                  <c:v>59523.642134150417</c:v>
                </c:pt>
                <c:pt idx="8">
                  <c:v>68395.060662199452</c:v>
                </c:pt>
                <c:pt idx="9">
                  <c:v>77798.764301931427</c:v>
                </c:pt>
                <c:pt idx="10">
                  <c:v>87766.690160047321</c:v>
                </c:pt>
                <c:pt idx="11">
                  <c:v>98332.691569650167</c:v>
                </c:pt>
                <c:pt idx="12">
                  <c:v>109532.65306382919</c:v>
                </c:pt>
                <c:pt idx="13">
                  <c:v>121404.61224765895</c:v>
                </c:pt>
                <c:pt idx="14">
                  <c:v>133988.88898251849</c:v>
                </c:pt>
                <c:pt idx="15">
                  <c:v>147328.2223214696</c:v>
                </c:pt>
                <c:pt idx="16">
                  <c:v>161467.91566075778</c:v>
                </c:pt>
                <c:pt idx="17">
                  <c:v>176455.99060040325</c:v>
                </c:pt>
                <c:pt idx="18">
                  <c:v>192343.35003642747</c:v>
                </c:pt>
                <c:pt idx="19">
                  <c:v>209183.95103861313</c:v>
                </c:pt>
                <c:pt idx="20">
                  <c:v>227034.98810092994</c:v>
                </c:pt>
                <c:pt idx="21">
                  <c:v>245957.08738698575</c:v>
                </c:pt>
                <c:pt idx="22">
                  <c:v>266014.5126302049</c:v>
                </c:pt>
                <c:pt idx="23">
                  <c:v>287275.38338801719</c:v>
                </c:pt>
                <c:pt idx="24">
                  <c:v>309811.90639129822</c:v>
                </c:pt>
                <c:pt idx="25">
                  <c:v>333700.62077477615</c:v>
                </c:pt>
                <c:pt idx="26">
                  <c:v>359022.65802126273</c:v>
                </c:pt>
                <c:pt idx="27">
                  <c:v>385864.01750253851</c:v>
                </c:pt>
                <c:pt idx="28">
                  <c:v>414315.85855269083</c:v>
                </c:pt>
                <c:pt idx="29">
                  <c:v>444474.8100658523</c:v>
                </c:pt>
                <c:pt idx="30">
                  <c:v>476443.29866980348</c:v>
                </c:pt>
              </c:numCache>
            </c:numRef>
          </c:val>
          <c:smooth val="0"/>
          <c:extLst>
            <c:ext xmlns:c16="http://schemas.microsoft.com/office/drawing/2014/chart" uri="{C3380CC4-5D6E-409C-BE32-E72D297353CC}">
              <c16:uniqueId val="{00000003-3EF4-E346-9AA5-71DF7036A9DB}"/>
            </c:ext>
          </c:extLst>
        </c:ser>
        <c:dLbls>
          <c:showLegendKey val="0"/>
          <c:showVal val="0"/>
          <c:showCatName val="0"/>
          <c:showSerName val="0"/>
          <c:showPercent val="0"/>
          <c:showBubbleSize val="0"/>
        </c:dLbls>
        <c:smooth val="0"/>
        <c:axId val="650501775"/>
        <c:axId val="651042239"/>
      </c:lineChart>
      <c:catAx>
        <c:axId val="6505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42239"/>
        <c:crosses val="autoZero"/>
        <c:auto val="1"/>
        <c:lblAlgn val="ctr"/>
        <c:lblOffset val="100"/>
        <c:noMultiLvlLbl val="0"/>
      </c:catAx>
      <c:valAx>
        <c:axId val="651042239"/>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0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Ending Value</c:v>
          </c:tx>
          <c:invertIfNegative val="1"/>
          <c:cat>
            <c:strRef>
              <c:f>Dashboard!$A$13:$A$14</c:f>
              <c:strCache>
                <c:ptCount val="2"/>
                <c:pt idx="0">
                  <c:v>Mutual Fund</c:v>
                </c:pt>
                <c:pt idx="1">
                  <c:v>ETF</c:v>
                </c:pt>
              </c:strCache>
            </c:strRef>
          </c:cat>
          <c:val>
            <c:numRef>
              <c:f>Dashboard!$B$13:$B$14</c:f>
              <c:numCache>
                <c:formatCode>\$#,##0;[Red]\(\$#,##0\);\-</c:formatCode>
                <c:ptCount val="2"/>
                <c:pt idx="0">
                  <c:v>476443.29866980348</c:v>
                </c:pt>
                <c:pt idx="1">
                  <c:v>683825.32982166356</c:v>
                </c:pt>
              </c:numCache>
            </c:numRef>
          </c:val>
          <c:extLst>
            <c:ext xmlns:c16="http://schemas.microsoft.com/office/drawing/2014/chart" uri="{C3380CC4-5D6E-409C-BE32-E72D297353CC}">
              <c16:uniqueId val="{00000000-7E38-4340-A1F4-2B9CA5587D4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CA"/>
                  <a:t>Ending value</a:t>
                </a:r>
              </a:p>
            </c:rich>
          </c:tx>
          <c:overlay val="0"/>
        </c:title>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112722</xdr:colOff>
      <xdr:row>2</xdr:row>
      <xdr:rowOff>142781</xdr:rowOff>
    </xdr:from>
    <xdr:to>
      <xdr:col>14</xdr:col>
      <xdr:colOff>593669</xdr:colOff>
      <xdr:row>24</xdr:row>
      <xdr:rowOff>172840</xdr:rowOff>
    </xdr:to>
    <xdr:graphicFrame macro="">
      <xdr:nvGraphicFramePr>
        <xdr:cNvPr id="4" name="Chart 3">
          <a:extLst>
            <a:ext uri="{FF2B5EF4-FFF2-40B4-BE49-F238E27FC236}">
              <a16:creationId xmlns:a16="http://schemas.microsoft.com/office/drawing/2014/main" id="{4B3485C8-F13D-83B6-FB84-21DDAC9B0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4</xdr:col>
      <xdr:colOff>0</xdr:colOff>
      <xdr:row>38</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owthComparisonTable" displayName="GrowthComparisonTable" ref="A3:H34">
  <tableColumns count="8">
    <tableColumn id="1" xr3:uid="{00000000-0010-0000-0000-000001000000}" name="Year"/>
    <tableColumn id="2" xr3:uid="{00000000-0010-0000-0000-000002000000}" name="Mutual Fund Start Value"/>
    <tableColumn id="3" xr3:uid="{00000000-0010-0000-0000-000003000000}" name="MF Contribution"/>
    <tableColumn id="4" xr3:uid="{00000000-0010-0000-0000-000004000000}" name="MF Net Return"/>
    <tableColumn id="5" xr3:uid="{00000000-0010-0000-0000-000005000000}" name="Mutual Fund End Value"/>
    <tableColumn id="6" xr3:uid="{00000000-0010-0000-0000-000006000000}" name="ETF Start Value"/>
    <tableColumn id="7" xr3:uid="{00000000-0010-0000-0000-000007000000}" name="ETF Contribution"/>
    <tableColumn id="8" xr3:uid="{00000000-0010-0000-0000-000008000000}" name="ETF End 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zoomScale="150" zoomScaleNormal="220" workbookViewId="0">
      <selection activeCell="B14" sqref="B14"/>
    </sheetView>
  </sheetViews>
  <sheetFormatPr baseColWidth="10" defaultColWidth="8.83203125" defaultRowHeight="14"/>
  <cols>
    <col min="1" max="1" width="43.33203125" customWidth="1"/>
    <col min="2" max="2" width="9" customWidth="1"/>
    <col min="3" max="3" width="28.1640625" customWidth="1"/>
    <col min="4" max="4" width="32" customWidth="1"/>
  </cols>
  <sheetData>
    <row r="1" spans="1:4" ht="18">
      <c r="A1" s="14" t="s">
        <v>0</v>
      </c>
      <c r="B1" s="14"/>
      <c r="C1" s="14"/>
      <c r="D1" s="14"/>
    </row>
    <row r="3" spans="1:4" ht="15">
      <c r="A3" s="1" t="s">
        <v>1</v>
      </c>
      <c r="B3" s="1" t="s">
        <v>2</v>
      </c>
      <c r="C3" s="1" t="s">
        <v>3</v>
      </c>
      <c r="D3" s="1" t="s">
        <v>4</v>
      </c>
    </row>
    <row r="4" spans="1:4" ht="15">
      <c r="A4" s="6" t="s">
        <v>5</v>
      </c>
      <c r="B4" s="2">
        <v>10000</v>
      </c>
      <c r="C4" t="s">
        <v>6</v>
      </c>
      <c r="D4" t="s">
        <v>7</v>
      </c>
    </row>
    <row r="5" spans="1:4" ht="15">
      <c r="A5" s="6" t="s">
        <v>8</v>
      </c>
      <c r="B5" s="2">
        <v>5000</v>
      </c>
      <c r="C5" t="s">
        <v>6</v>
      </c>
      <c r="D5" t="s">
        <v>9</v>
      </c>
    </row>
    <row r="6" spans="1:4" ht="15">
      <c r="A6" s="6" t="s">
        <v>10</v>
      </c>
      <c r="B6" s="3">
        <v>30</v>
      </c>
      <c r="C6" t="s">
        <v>11</v>
      </c>
      <c r="D6" t="s">
        <v>12</v>
      </c>
    </row>
    <row r="7" spans="1:4" ht="15">
      <c r="A7" s="6" t="s">
        <v>13</v>
      </c>
      <c r="B7" s="4">
        <v>0.08</v>
      </c>
      <c r="C7" t="s">
        <v>14</v>
      </c>
      <c r="D7" t="s">
        <v>15</v>
      </c>
    </row>
    <row r="8" spans="1:4" ht="15">
      <c r="A8" s="6" t="s">
        <v>16</v>
      </c>
      <c r="B8" s="4">
        <v>0.02</v>
      </c>
      <c r="C8" t="s">
        <v>14</v>
      </c>
      <c r="D8" t="s">
        <v>17</v>
      </c>
    </row>
    <row r="9" spans="1:4" ht="15">
      <c r="A9" s="6" t="s">
        <v>18</v>
      </c>
      <c r="B9" s="4">
        <v>2E-3</v>
      </c>
      <c r="C9" t="s">
        <v>14</v>
      </c>
      <c r="D9" t="s">
        <v>17</v>
      </c>
    </row>
    <row r="10" spans="1:4" ht="15">
      <c r="A10" s="6"/>
    </row>
    <row r="11" spans="1:4" ht="15">
      <c r="A11" s="1" t="s">
        <v>19</v>
      </c>
      <c r="B11" s="1" t="s">
        <v>2</v>
      </c>
      <c r="C11" s="1" t="s">
        <v>20</v>
      </c>
      <c r="D11" s="1" t="s">
        <v>21</v>
      </c>
    </row>
    <row r="12" spans="1:4" ht="15">
      <c r="A12" s="6" t="s">
        <v>22</v>
      </c>
      <c r="B12" s="5">
        <f>B7-B8</f>
        <v>0.06</v>
      </c>
      <c r="C12" t="s">
        <v>23</v>
      </c>
      <c r="D12" t="s">
        <v>24</v>
      </c>
    </row>
    <row r="13" spans="1:4" ht="15">
      <c r="A13" s="6" t="s">
        <v>25</v>
      </c>
      <c r="B13" s="5">
        <f>B7-B9</f>
        <v>7.8E-2</v>
      </c>
      <c r="C13" t="s">
        <v>26</v>
      </c>
      <c r="D13" t="s">
        <v>24</v>
      </c>
    </row>
    <row r="14" spans="1:4">
      <c r="B14" s="17">
        <f>B13-B12</f>
        <v>1.8000000000000002E-2</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tabSelected="1" topLeftCell="E1" zoomScale="169" zoomScaleNormal="169" workbookViewId="0">
      <selection activeCell="H34" sqref="H34"/>
    </sheetView>
  </sheetViews>
  <sheetFormatPr baseColWidth="10" defaultColWidth="8.83203125" defaultRowHeight="14"/>
  <cols>
    <col min="1" max="1" width="5.1640625" customWidth="1"/>
    <col min="2" max="2" width="20" customWidth="1"/>
    <col min="3" max="3" width="13.5" customWidth="1"/>
    <col min="4" max="4" width="12" customWidth="1"/>
    <col min="5" max="5" width="19" customWidth="1"/>
    <col min="6" max="6" width="12.1640625" customWidth="1"/>
    <col min="7" max="7" width="13.6640625" customWidth="1"/>
    <col min="8" max="8" width="13.5" customWidth="1"/>
  </cols>
  <sheetData>
    <row r="1" spans="1:8" ht="18">
      <c r="A1" s="14" t="s">
        <v>27</v>
      </c>
      <c r="B1" s="14"/>
      <c r="C1" s="14"/>
      <c r="D1" s="14"/>
      <c r="E1" s="14"/>
      <c r="F1" s="14"/>
      <c r="G1" s="14"/>
      <c r="H1" s="14"/>
    </row>
    <row r="3" spans="1:8" ht="32">
      <c r="A3" s="9" t="s">
        <v>28</v>
      </c>
      <c r="B3" s="9" t="s">
        <v>29</v>
      </c>
      <c r="C3" s="9" t="s">
        <v>30</v>
      </c>
      <c r="D3" s="9" t="s">
        <v>31</v>
      </c>
      <c r="E3" s="9" t="s">
        <v>32</v>
      </c>
      <c r="F3" s="9" t="s">
        <v>33</v>
      </c>
      <c r="G3" s="9" t="s">
        <v>34</v>
      </c>
      <c r="H3" s="9" t="s">
        <v>35</v>
      </c>
    </row>
    <row r="4" spans="1:8">
      <c r="A4" s="10">
        <v>0</v>
      </c>
      <c r="B4" s="11">
        <f>Inputs!$B$4</f>
        <v>10000</v>
      </c>
      <c r="C4" s="11">
        <v>0</v>
      </c>
      <c r="D4" s="12">
        <f>Inputs!$B$12</f>
        <v>0.06</v>
      </c>
      <c r="E4" s="11">
        <f>B4</f>
        <v>10000</v>
      </c>
      <c r="F4" s="11">
        <f>Inputs!$B$4</f>
        <v>10000</v>
      </c>
      <c r="G4" s="11">
        <v>0</v>
      </c>
      <c r="H4" s="11">
        <f>F4</f>
        <v>10000</v>
      </c>
    </row>
    <row r="5" spans="1:8">
      <c r="A5" s="10">
        <v>1</v>
      </c>
      <c r="B5" s="11">
        <f t="shared" ref="B5:B34" si="0">E4</f>
        <v>10000</v>
      </c>
      <c r="C5" s="11">
        <f>Inputs!$B$5</f>
        <v>5000</v>
      </c>
      <c r="D5" s="12">
        <f>Inputs!$B$12</f>
        <v>0.06</v>
      </c>
      <c r="E5" s="11">
        <f t="shared" ref="E5:E34" si="1">(B5+C5)*(1+D5)</f>
        <v>15900</v>
      </c>
      <c r="F5" s="11">
        <f t="shared" ref="F5:F34" si="2">H4</f>
        <v>10000</v>
      </c>
      <c r="G5" s="11">
        <f>Inputs!$B$5</f>
        <v>5000</v>
      </c>
      <c r="H5" s="11">
        <f>(F5+G5)*(1+Inputs!$B$13)</f>
        <v>16170.000000000002</v>
      </c>
    </row>
    <row r="6" spans="1:8">
      <c r="A6" s="10">
        <v>2</v>
      </c>
      <c r="B6" s="11">
        <f t="shared" si="0"/>
        <v>15900</v>
      </c>
      <c r="C6" s="11">
        <f>Inputs!$B$5</f>
        <v>5000</v>
      </c>
      <c r="D6" s="12">
        <f>Inputs!$B$12</f>
        <v>0.06</v>
      </c>
      <c r="E6" s="11">
        <f t="shared" si="1"/>
        <v>22154</v>
      </c>
      <c r="F6" s="11">
        <f t="shared" si="2"/>
        <v>16170.000000000002</v>
      </c>
      <c r="G6" s="11">
        <f>Inputs!$B$5</f>
        <v>5000</v>
      </c>
      <c r="H6" s="11">
        <f>(F6+G6)*(1+Inputs!$B$13)</f>
        <v>22821.260000000002</v>
      </c>
    </row>
    <row r="7" spans="1:8">
      <c r="A7" s="10">
        <v>3</v>
      </c>
      <c r="B7" s="11">
        <f t="shared" si="0"/>
        <v>22154</v>
      </c>
      <c r="C7" s="11">
        <f>Inputs!$B$5</f>
        <v>5000</v>
      </c>
      <c r="D7" s="12">
        <f>Inputs!$B$12</f>
        <v>0.06</v>
      </c>
      <c r="E7" s="11">
        <f t="shared" si="1"/>
        <v>28783.24</v>
      </c>
      <c r="F7" s="11">
        <f t="shared" si="2"/>
        <v>22821.260000000002</v>
      </c>
      <c r="G7" s="11">
        <f>Inputs!$B$5</f>
        <v>5000</v>
      </c>
      <c r="H7" s="11">
        <f>(F7+G7)*(1+Inputs!$B$13)</f>
        <v>29991.318280000003</v>
      </c>
    </row>
    <row r="8" spans="1:8">
      <c r="A8" s="10">
        <v>4</v>
      </c>
      <c r="B8" s="11">
        <f t="shared" si="0"/>
        <v>28783.24</v>
      </c>
      <c r="C8" s="11">
        <f>Inputs!$B$5</f>
        <v>5000</v>
      </c>
      <c r="D8" s="12">
        <f>Inputs!$B$12</f>
        <v>0.06</v>
      </c>
      <c r="E8" s="11">
        <f t="shared" si="1"/>
        <v>35810.234400000008</v>
      </c>
      <c r="F8" s="11">
        <f t="shared" si="2"/>
        <v>29991.318280000003</v>
      </c>
      <c r="G8" s="11">
        <f>Inputs!$B$5</f>
        <v>5000</v>
      </c>
      <c r="H8" s="11">
        <f>(F8+G8)*(1+Inputs!$B$13)</f>
        <v>37720.641105840012</v>
      </c>
    </row>
    <row r="9" spans="1:8">
      <c r="A9" s="10">
        <v>5</v>
      </c>
      <c r="B9" s="11">
        <f t="shared" si="0"/>
        <v>35810.234400000008</v>
      </c>
      <c r="C9" s="11">
        <f>Inputs!$B$5</f>
        <v>5000</v>
      </c>
      <c r="D9" s="12">
        <f>Inputs!$B$12</f>
        <v>0.06</v>
      </c>
      <c r="E9" s="11">
        <f t="shared" si="1"/>
        <v>43258.84846400001</v>
      </c>
      <c r="F9" s="11">
        <f t="shared" si="2"/>
        <v>37720.641105840012</v>
      </c>
      <c r="G9" s="11">
        <f>Inputs!$B$5</f>
        <v>5000</v>
      </c>
      <c r="H9" s="11">
        <f>(F9+G9)*(1+Inputs!$B$13)</f>
        <v>46052.851112095537</v>
      </c>
    </row>
    <row r="10" spans="1:8">
      <c r="A10" s="10">
        <v>6</v>
      </c>
      <c r="B10" s="11">
        <f t="shared" si="0"/>
        <v>43258.84846400001</v>
      </c>
      <c r="C10" s="11">
        <f>Inputs!$B$5</f>
        <v>5000</v>
      </c>
      <c r="D10" s="12">
        <f>Inputs!$B$12</f>
        <v>0.06</v>
      </c>
      <c r="E10" s="11">
        <f t="shared" si="1"/>
        <v>51154.379371840012</v>
      </c>
      <c r="F10" s="11">
        <f t="shared" si="2"/>
        <v>46052.851112095537</v>
      </c>
      <c r="G10" s="11">
        <f>Inputs!$B$5</f>
        <v>5000</v>
      </c>
      <c r="H10" s="11">
        <f>(F10+G10)*(1+Inputs!$B$13)</f>
        <v>55034.97349883899</v>
      </c>
    </row>
    <row r="11" spans="1:8">
      <c r="A11" s="10">
        <v>7</v>
      </c>
      <c r="B11" s="11">
        <f t="shared" si="0"/>
        <v>51154.379371840012</v>
      </c>
      <c r="C11" s="11">
        <f>Inputs!$B$5</f>
        <v>5000</v>
      </c>
      <c r="D11" s="12">
        <f>Inputs!$B$12</f>
        <v>0.06</v>
      </c>
      <c r="E11" s="11">
        <f t="shared" si="1"/>
        <v>59523.642134150417</v>
      </c>
      <c r="F11" s="11">
        <f t="shared" si="2"/>
        <v>55034.97349883899</v>
      </c>
      <c r="G11" s="11">
        <f>Inputs!$B$5</f>
        <v>5000</v>
      </c>
      <c r="H11" s="11">
        <f>(F11+G11)*(1+Inputs!$B$13)</f>
        <v>64717.701431748435</v>
      </c>
    </row>
    <row r="12" spans="1:8">
      <c r="A12" s="10">
        <v>8</v>
      </c>
      <c r="B12" s="11">
        <f t="shared" si="0"/>
        <v>59523.642134150417</v>
      </c>
      <c r="C12" s="11">
        <f>Inputs!$B$5</f>
        <v>5000</v>
      </c>
      <c r="D12" s="12">
        <f>Inputs!$B$12</f>
        <v>0.06</v>
      </c>
      <c r="E12" s="11">
        <f t="shared" si="1"/>
        <v>68395.060662199452</v>
      </c>
      <c r="F12" s="11">
        <f t="shared" si="2"/>
        <v>64717.701431748435</v>
      </c>
      <c r="G12" s="11">
        <f>Inputs!$B$5</f>
        <v>5000</v>
      </c>
      <c r="H12" s="11">
        <f>(F12+G12)*(1+Inputs!$B$13)</f>
        <v>75155.682143424812</v>
      </c>
    </row>
    <row r="13" spans="1:8">
      <c r="A13" s="10">
        <v>9</v>
      </c>
      <c r="B13" s="11">
        <f t="shared" si="0"/>
        <v>68395.060662199452</v>
      </c>
      <c r="C13" s="11">
        <f>Inputs!$B$5</f>
        <v>5000</v>
      </c>
      <c r="D13" s="12">
        <f>Inputs!$B$12</f>
        <v>0.06</v>
      </c>
      <c r="E13" s="11">
        <f t="shared" si="1"/>
        <v>77798.764301931427</v>
      </c>
      <c r="F13" s="11">
        <f t="shared" si="2"/>
        <v>75155.682143424812</v>
      </c>
      <c r="G13" s="11">
        <f>Inputs!$B$5</f>
        <v>5000</v>
      </c>
      <c r="H13" s="11">
        <f>(F13+G13)*(1+Inputs!$B$13)</f>
        <v>86407.825350611951</v>
      </c>
    </row>
    <row r="14" spans="1:8">
      <c r="A14" s="10">
        <v>10</v>
      </c>
      <c r="B14" s="11">
        <f t="shared" si="0"/>
        <v>77798.764301931427</v>
      </c>
      <c r="C14" s="11">
        <f>Inputs!$B$5</f>
        <v>5000</v>
      </c>
      <c r="D14" s="12">
        <f>Inputs!$B$12</f>
        <v>0.06</v>
      </c>
      <c r="E14" s="11">
        <f t="shared" si="1"/>
        <v>87766.690160047321</v>
      </c>
      <c r="F14" s="11">
        <f t="shared" si="2"/>
        <v>86407.825350611951</v>
      </c>
      <c r="G14" s="11">
        <f>Inputs!$B$5</f>
        <v>5000</v>
      </c>
      <c r="H14" s="11">
        <f>(F14+G14)*(1+Inputs!$B$13)</f>
        <v>98537.635727959685</v>
      </c>
    </row>
    <row r="15" spans="1:8">
      <c r="A15" s="10">
        <v>11</v>
      </c>
      <c r="B15" s="11">
        <f t="shared" si="0"/>
        <v>87766.690160047321</v>
      </c>
      <c r="C15" s="11">
        <f>Inputs!$B$5</f>
        <v>5000</v>
      </c>
      <c r="D15" s="12">
        <f>Inputs!$B$12</f>
        <v>0.06</v>
      </c>
      <c r="E15" s="11">
        <f t="shared" si="1"/>
        <v>98332.691569650167</v>
      </c>
      <c r="F15" s="11">
        <f t="shared" si="2"/>
        <v>98537.635727959685</v>
      </c>
      <c r="G15" s="11">
        <f>Inputs!$B$5</f>
        <v>5000</v>
      </c>
      <c r="H15" s="11">
        <f>(F15+G15)*(1+Inputs!$B$13)</f>
        <v>111613.57131474055</v>
      </c>
    </row>
    <row r="16" spans="1:8">
      <c r="A16" s="10">
        <v>12</v>
      </c>
      <c r="B16" s="11">
        <f t="shared" si="0"/>
        <v>98332.691569650167</v>
      </c>
      <c r="C16" s="11">
        <f>Inputs!$B$5</f>
        <v>5000</v>
      </c>
      <c r="D16" s="12">
        <f>Inputs!$B$12</f>
        <v>0.06</v>
      </c>
      <c r="E16" s="11">
        <f t="shared" si="1"/>
        <v>109532.65306382919</v>
      </c>
      <c r="F16" s="11">
        <f t="shared" si="2"/>
        <v>111613.57131474055</v>
      </c>
      <c r="G16" s="11">
        <f>Inputs!$B$5</f>
        <v>5000</v>
      </c>
      <c r="H16" s="11">
        <f>(F16+G16)*(1+Inputs!$B$13)</f>
        <v>125709.42987729031</v>
      </c>
    </row>
    <row r="17" spans="1:8">
      <c r="A17" s="10">
        <v>13</v>
      </c>
      <c r="B17" s="11">
        <f t="shared" si="0"/>
        <v>109532.65306382919</v>
      </c>
      <c r="C17" s="11">
        <f>Inputs!$B$5</f>
        <v>5000</v>
      </c>
      <c r="D17" s="12">
        <f>Inputs!$B$12</f>
        <v>0.06</v>
      </c>
      <c r="E17" s="11">
        <f t="shared" si="1"/>
        <v>121404.61224765895</v>
      </c>
      <c r="F17" s="11">
        <f t="shared" si="2"/>
        <v>125709.42987729031</v>
      </c>
      <c r="G17" s="11">
        <f>Inputs!$B$5</f>
        <v>5000</v>
      </c>
      <c r="H17" s="11">
        <f>(F17+G17)*(1+Inputs!$B$13)</f>
        <v>140904.76540771898</v>
      </c>
    </row>
    <row r="18" spans="1:8">
      <c r="A18" s="10">
        <v>14</v>
      </c>
      <c r="B18" s="11">
        <f t="shared" si="0"/>
        <v>121404.61224765895</v>
      </c>
      <c r="C18" s="11">
        <f>Inputs!$B$5</f>
        <v>5000</v>
      </c>
      <c r="D18" s="12">
        <f>Inputs!$B$12</f>
        <v>0.06</v>
      </c>
      <c r="E18" s="11">
        <f t="shared" si="1"/>
        <v>133988.88898251849</v>
      </c>
      <c r="F18" s="11">
        <f t="shared" si="2"/>
        <v>140904.76540771898</v>
      </c>
      <c r="G18" s="11">
        <f>Inputs!$B$5</f>
        <v>5000</v>
      </c>
      <c r="H18" s="11">
        <f>(F18+G18)*(1+Inputs!$B$13)</f>
        <v>157285.33710952106</v>
      </c>
    </row>
    <row r="19" spans="1:8">
      <c r="A19" s="10">
        <v>15</v>
      </c>
      <c r="B19" s="11">
        <f t="shared" si="0"/>
        <v>133988.88898251849</v>
      </c>
      <c r="C19" s="11">
        <f>Inputs!$B$5</f>
        <v>5000</v>
      </c>
      <c r="D19" s="12">
        <f>Inputs!$B$12</f>
        <v>0.06</v>
      </c>
      <c r="E19" s="11">
        <f t="shared" si="1"/>
        <v>147328.2223214696</v>
      </c>
      <c r="F19" s="11">
        <f t="shared" si="2"/>
        <v>157285.33710952106</v>
      </c>
      <c r="G19" s="11">
        <f>Inputs!$B$5</f>
        <v>5000</v>
      </c>
      <c r="H19" s="11">
        <f>(F19+G19)*(1+Inputs!$B$13)</f>
        <v>174943.59340406372</v>
      </c>
    </row>
    <row r="20" spans="1:8">
      <c r="A20" s="10">
        <v>16</v>
      </c>
      <c r="B20" s="11">
        <f t="shared" si="0"/>
        <v>147328.2223214696</v>
      </c>
      <c r="C20" s="11">
        <f>Inputs!$B$5</f>
        <v>5000</v>
      </c>
      <c r="D20" s="12">
        <f>Inputs!$B$12</f>
        <v>0.06</v>
      </c>
      <c r="E20" s="11">
        <f t="shared" si="1"/>
        <v>161467.91566075778</v>
      </c>
      <c r="F20" s="11">
        <f t="shared" si="2"/>
        <v>174943.59340406372</v>
      </c>
      <c r="G20" s="11">
        <f>Inputs!$B$5</f>
        <v>5000</v>
      </c>
      <c r="H20" s="11">
        <f>(F20+G20)*(1+Inputs!$B$13)</f>
        <v>193979.19368958072</v>
      </c>
    </row>
    <row r="21" spans="1:8">
      <c r="A21" s="10">
        <v>17</v>
      </c>
      <c r="B21" s="11">
        <f t="shared" si="0"/>
        <v>161467.91566075778</v>
      </c>
      <c r="C21" s="11">
        <f>Inputs!$B$5</f>
        <v>5000</v>
      </c>
      <c r="D21" s="12">
        <f>Inputs!$B$12</f>
        <v>0.06</v>
      </c>
      <c r="E21" s="11">
        <f t="shared" si="1"/>
        <v>176455.99060040325</v>
      </c>
      <c r="F21" s="11">
        <f t="shared" si="2"/>
        <v>193979.19368958072</v>
      </c>
      <c r="G21" s="11">
        <f>Inputs!$B$5</f>
        <v>5000</v>
      </c>
      <c r="H21" s="11">
        <f>(F21+G21)*(1+Inputs!$B$13)</f>
        <v>214499.57079736801</v>
      </c>
    </row>
    <row r="22" spans="1:8">
      <c r="A22" s="10">
        <v>18</v>
      </c>
      <c r="B22" s="11">
        <f t="shared" si="0"/>
        <v>176455.99060040325</v>
      </c>
      <c r="C22" s="11">
        <f>Inputs!$B$5</f>
        <v>5000</v>
      </c>
      <c r="D22" s="12">
        <f>Inputs!$B$12</f>
        <v>0.06</v>
      </c>
      <c r="E22" s="11">
        <f t="shared" si="1"/>
        <v>192343.35003642747</v>
      </c>
      <c r="F22" s="11">
        <f t="shared" si="2"/>
        <v>214499.57079736801</v>
      </c>
      <c r="G22" s="11">
        <f>Inputs!$B$5</f>
        <v>5000</v>
      </c>
      <c r="H22" s="11">
        <f>(F22+G22)*(1+Inputs!$B$13)</f>
        <v>236620.53731956272</v>
      </c>
    </row>
    <row r="23" spans="1:8">
      <c r="A23" s="10">
        <v>19</v>
      </c>
      <c r="B23" s="11">
        <f t="shared" si="0"/>
        <v>192343.35003642747</v>
      </c>
      <c r="C23" s="11">
        <f>Inputs!$B$5</f>
        <v>5000</v>
      </c>
      <c r="D23" s="12">
        <f>Inputs!$B$12</f>
        <v>0.06</v>
      </c>
      <c r="E23" s="11">
        <f t="shared" si="1"/>
        <v>209183.95103861313</v>
      </c>
      <c r="F23" s="11">
        <f t="shared" si="2"/>
        <v>236620.53731956272</v>
      </c>
      <c r="G23" s="11">
        <f>Inputs!$B$5</f>
        <v>5000</v>
      </c>
      <c r="H23" s="11">
        <f>(F23+G23)*(1+Inputs!$B$13)</f>
        <v>260466.93923048861</v>
      </c>
    </row>
    <row r="24" spans="1:8">
      <c r="A24" s="10">
        <v>20</v>
      </c>
      <c r="B24" s="11">
        <f t="shared" si="0"/>
        <v>209183.95103861313</v>
      </c>
      <c r="C24" s="11">
        <f>Inputs!$B$5</f>
        <v>5000</v>
      </c>
      <c r="D24" s="12">
        <f>Inputs!$B$12</f>
        <v>0.06</v>
      </c>
      <c r="E24" s="11">
        <f t="shared" si="1"/>
        <v>227034.98810092994</v>
      </c>
      <c r="F24" s="11">
        <f t="shared" si="2"/>
        <v>260466.93923048861</v>
      </c>
      <c r="G24" s="11">
        <f>Inputs!$B$5</f>
        <v>5000</v>
      </c>
      <c r="H24" s="11">
        <f>(F24+G24)*(1+Inputs!$B$13)</f>
        <v>286173.36049046676</v>
      </c>
    </row>
    <row r="25" spans="1:8">
      <c r="A25" s="10">
        <v>21</v>
      </c>
      <c r="B25" s="11">
        <f t="shared" si="0"/>
        <v>227034.98810092994</v>
      </c>
      <c r="C25" s="11">
        <f>Inputs!$B$5</f>
        <v>5000</v>
      </c>
      <c r="D25" s="12">
        <f>Inputs!$B$12</f>
        <v>0.06</v>
      </c>
      <c r="E25" s="11">
        <f t="shared" si="1"/>
        <v>245957.08738698575</v>
      </c>
      <c r="F25" s="11">
        <f t="shared" si="2"/>
        <v>286173.36049046676</v>
      </c>
      <c r="G25" s="11">
        <f>Inputs!$B$5</f>
        <v>5000</v>
      </c>
      <c r="H25" s="11">
        <f>(F25+G25)*(1+Inputs!$B$13)</f>
        <v>313884.88260872319</v>
      </c>
    </row>
    <row r="26" spans="1:8">
      <c r="A26" s="10">
        <v>22</v>
      </c>
      <c r="B26" s="11">
        <f t="shared" si="0"/>
        <v>245957.08738698575</v>
      </c>
      <c r="C26" s="11">
        <f>Inputs!$B$5</f>
        <v>5000</v>
      </c>
      <c r="D26" s="12">
        <f>Inputs!$B$12</f>
        <v>0.06</v>
      </c>
      <c r="E26" s="11">
        <f t="shared" si="1"/>
        <v>266014.5126302049</v>
      </c>
      <c r="F26" s="11">
        <f t="shared" si="2"/>
        <v>313884.88260872319</v>
      </c>
      <c r="G26" s="11">
        <f>Inputs!$B$5</f>
        <v>5000</v>
      </c>
      <c r="H26" s="11">
        <f>(F26+G26)*(1+Inputs!$B$13)</f>
        <v>343757.90345220361</v>
      </c>
    </row>
    <row r="27" spans="1:8">
      <c r="A27" s="10">
        <v>23</v>
      </c>
      <c r="B27" s="11">
        <f t="shared" si="0"/>
        <v>266014.5126302049</v>
      </c>
      <c r="C27" s="11">
        <f>Inputs!$B$5</f>
        <v>5000</v>
      </c>
      <c r="D27" s="12">
        <f>Inputs!$B$12</f>
        <v>0.06</v>
      </c>
      <c r="E27" s="11">
        <f t="shared" si="1"/>
        <v>287275.38338801719</v>
      </c>
      <c r="F27" s="11">
        <f t="shared" si="2"/>
        <v>343757.90345220361</v>
      </c>
      <c r="G27" s="11">
        <f>Inputs!$B$5</f>
        <v>5000</v>
      </c>
      <c r="H27" s="11">
        <f>(F27+G27)*(1+Inputs!$B$13)</f>
        <v>375961.0199214755</v>
      </c>
    </row>
    <row r="28" spans="1:8">
      <c r="A28" s="10">
        <v>24</v>
      </c>
      <c r="B28" s="11">
        <f t="shared" si="0"/>
        <v>287275.38338801719</v>
      </c>
      <c r="C28" s="11">
        <f>Inputs!$B$5</f>
        <v>5000</v>
      </c>
      <c r="D28" s="12">
        <f>Inputs!$B$12</f>
        <v>0.06</v>
      </c>
      <c r="E28" s="11">
        <f t="shared" si="1"/>
        <v>309811.90639129822</v>
      </c>
      <c r="F28" s="11">
        <f t="shared" si="2"/>
        <v>375961.0199214755</v>
      </c>
      <c r="G28" s="11">
        <f>Inputs!$B$5</f>
        <v>5000</v>
      </c>
      <c r="H28" s="11">
        <f>(F28+G28)*(1+Inputs!$B$13)</f>
        <v>410675.97947535058</v>
      </c>
    </row>
    <row r="29" spans="1:8">
      <c r="A29" s="10">
        <v>25</v>
      </c>
      <c r="B29" s="11">
        <f t="shared" si="0"/>
        <v>309811.90639129822</v>
      </c>
      <c r="C29" s="11">
        <f>Inputs!$B$5</f>
        <v>5000</v>
      </c>
      <c r="D29" s="12">
        <f>Inputs!$B$12</f>
        <v>0.06</v>
      </c>
      <c r="E29" s="11">
        <f t="shared" si="1"/>
        <v>333700.62077477615</v>
      </c>
      <c r="F29" s="11">
        <f t="shared" si="2"/>
        <v>410675.97947535058</v>
      </c>
      <c r="G29" s="11">
        <f>Inputs!$B$5</f>
        <v>5000</v>
      </c>
      <c r="H29" s="11">
        <f>(F29+G29)*(1+Inputs!$B$13)</f>
        <v>448098.70587442798</v>
      </c>
    </row>
    <row r="30" spans="1:8">
      <c r="A30" s="10">
        <v>26</v>
      </c>
      <c r="B30" s="11">
        <f t="shared" si="0"/>
        <v>333700.62077477615</v>
      </c>
      <c r="C30" s="11">
        <f>Inputs!$B$5</f>
        <v>5000</v>
      </c>
      <c r="D30" s="12">
        <f>Inputs!$B$12</f>
        <v>0.06</v>
      </c>
      <c r="E30" s="11">
        <f t="shared" si="1"/>
        <v>359022.65802126273</v>
      </c>
      <c r="F30" s="11">
        <f t="shared" si="2"/>
        <v>448098.70587442798</v>
      </c>
      <c r="G30" s="11">
        <f>Inputs!$B$5</f>
        <v>5000</v>
      </c>
      <c r="H30" s="11">
        <f>(F30+G30)*(1+Inputs!$B$13)</f>
        <v>488440.40493263339</v>
      </c>
    </row>
    <row r="31" spans="1:8">
      <c r="A31" s="10">
        <v>27</v>
      </c>
      <c r="B31" s="11">
        <f t="shared" si="0"/>
        <v>359022.65802126273</v>
      </c>
      <c r="C31" s="11">
        <f>Inputs!$B$5</f>
        <v>5000</v>
      </c>
      <c r="D31" s="12">
        <f>Inputs!$B$12</f>
        <v>0.06</v>
      </c>
      <c r="E31" s="11">
        <f t="shared" si="1"/>
        <v>385864.01750253851</v>
      </c>
      <c r="F31" s="11">
        <f t="shared" si="2"/>
        <v>488440.40493263339</v>
      </c>
      <c r="G31" s="11">
        <f>Inputs!$B$5</f>
        <v>5000</v>
      </c>
      <c r="H31" s="11">
        <f>(F31+G31)*(1+Inputs!$B$13)</f>
        <v>531928.75651737885</v>
      </c>
    </row>
    <row r="32" spans="1:8">
      <c r="A32" s="10">
        <v>28</v>
      </c>
      <c r="B32" s="11">
        <f t="shared" si="0"/>
        <v>385864.01750253851</v>
      </c>
      <c r="C32" s="11">
        <f>Inputs!$B$5</f>
        <v>5000</v>
      </c>
      <c r="D32" s="12">
        <f>Inputs!$B$12</f>
        <v>0.06</v>
      </c>
      <c r="E32" s="11">
        <f t="shared" si="1"/>
        <v>414315.85855269083</v>
      </c>
      <c r="F32" s="11">
        <f t="shared" si="2"/>
        <v>531928.75651737885</v>
      </c>
      <c r="G32" s="11">
        <f>Inputs!$B$5</f>
        <v>5000</v>
      </c>
      <c r="H32" s="11">
        <f>(F32+G32)*(1+Inputs!$B$13)</f>
        <v>578809.19952573441</v>
      </c>
    </row>
    <row r="33" spans="1:8">
      <c r="A33" s="10">
        <v>29</v>
      </c>
      <c r="B33" s="11">
        <f t="shared" si="0"/>
        <v>414315.85855269083</v>
      </c>
      <c r="C33" s="11">
        <f>Inputs!$B$5</f>
        <v>5000</v>
      </c>
      <c r="D33" s="12">
        <f>Inputs!$B$12</f>
        <v>0.06</v>
      </c>
      <c r="E33" s="11">
        <f t="shared" si="1"/>
        <v>444474.8100658523</v>
      </c>
      <c r="F33" s="11">
        <f t="shared" si="2"/>
        <v>578809.19952573441</v>
      </c>
      <c r="G33" s="11">
        <f>Inputs!$B$5</f>
        <v>5000</v>
      </c>
      <c r="H33" s="11">
        <f>(F33+G33)*(1+Inputs!$B$13)</f>
        <v>629346.31708874169</v>
      </c>
    </row>
    <row r="34" spans="1:8">
      <c r="A34" s="10">
        <v>30</v>
      </c>
      <c r="B34" s="11">
        <f t="shared" si="0"/>
        <v>444474.8100658523</v>
      </c>
      <c r="C34" s="11">
        <f>Inputs!$B$5</f>
        <v>5000</v>
      </c>
      <c r="D34" s="12">
        <f>Inputs!$B$12</f>
        <v>0.06</v>
      </c>
      <c r="E34" s="11">
        <f t="shared" si="1"/>
        <v>476443.29866980348</v>
      </c>
      <c r="F34" s="11">
        <f t="shared" si="2"/>
        <v>629346.31708874169</v>
      </c>
      <c r="G34" s="11">
        <f>Inputs!$B$5</f>
        <v>5000</v>
      </c>
      <c r="H34" s="11">
        <f>(F34+G34)*(1+Inputs!$B$13)</f>
        <v>683825.32982166356</v>
      </c>
    </row>
  </sheetData>
  <mergeCells count="1">
    <mergeCell ref="A1:H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topLeftCell="A17" zoomScale="150" zoomScaleNormal="150" workbookViewId="0">
      <selection activeCell="C15" sqref="C15"/>
    </sheetView>
  </sheetViews>
  <sheetFormatPr baseColWidth="10" defaultColWidth="8.83203125" defaultRowHeight="14"/>
  <cols>
    <col min="1" max="1" width="54.6640625" customWidth="1"/>
    <col min="2" max="2" width="10.5" customWidth="1"/>
    <col min="3" max="3" width="8.83203125" customWidth="1"/>
    <col min="4" max="4" width="15" customWidth="1"/>
    <col min="5" max="5" width="10.5" customWidth="1"/>
    <col min="6" max="6" width="7.33203125" customWidth="1"/>
    <col min="7" max="7" width="8.33203125" customWidth="1"/>
    <col min="8" max="8" width="28" customWidth="1"/>
  </cols>
  <sheetData>
    <row r="1" spans="1:8" ht="18">
      <c r="A1" s="14" t="s">
        <v>36</v>
      </c>
      <c r="B1" s="14"/>
      <c r="C1" s="14"/>
      <c r="D1" s="14"/>
      <c r="E1" s="14"/>
      <c r="F1" s="14"/>
      <c r="G1" s="14"/>
      <c r="H1" s="14"/>
    </row>
    <row r="3" spans="1:8" ht="15">
      <c r="A3" s="1" t="s">
        <v>37</v>
      </c>
      <c r="B3" s="1" t="s">
        <v>2</v>
      </c>
      <c r="D3" s="1" t="s">
        <v>38</v>
      </c>
      <c r="E3" s="1" t="s">
        <v>39</v>
      </c>
      <c r="F3" s="1" t="s">
        <v>40</v>
      </c>
      <c r="G3" s="1" t="s">
        <v>41</v>
      </c>
      <c r="H3" s="1" t="s">
        <v>21</v>
      </c>
    </row>
    <row r="4" spans="1:8" ht="15">
      <c r="A4" s="6" t="s">
        <v>5</v>
      </c>
      <c r="B4" s="7">
        <f>Inputs!B4</f>
        <v>10000</v>
      </c>
      <c r="D4" t="s">
        <v>42</v>
      </c>
      <c r="E4" s="5">
        <f>Inputs!B12</f>
        <v>0.06</v>
      </c>
      <c r="F4" s="5">
        <f>Inputs!B13</f>
        <v>7.8E-2</v>
      </c>
      <c r="G4" s="5">
        <f>F4-E4</f>
        <v>1.8000000000000002E-2</v>
      </c>
      <c r="H4" t="s">
        <v>43</v>
      </c>
    </row>
    <row r="5" spans="1:8" ht="15">
      <c r="A5" s="6" t="s">
        <v>8</v>
      </c>
      <c r="B5" s="7">
        <f>Inputs!B5</f>
        <v>5000</v>
      </c>
      <c r="D5" t="s">
        <v>44</v>
      </c>
      <c r="E5" s="7">
        <f>INDEX('Yearly Calculation'!E:E, MATCH(Inputs!B6, 'Yearly Calculation'!A:A, 0))</f>
        <v>476443.29866980348</v>
      </c>
      <c r="F5" s="7">
        <f>INDEX('Yearly Calculation'!H:H, MATCH(Inputs!B6, 'Yearly Calculation'!A:A, 0))</f>
        <v>683825.32982166356</v>
      </c>
      <c r="G5" s="7">
        <f>F5-E5</f>
        <v>207382.03115186008</v>
      </c>
      <c r="H5" t="s">
        <v>45</v>
      </c>
    </row>
    <row r="6" spans="1:8" ht="15">
      <c r="A6" s="6" t="s">
        <v>11</v>
      </c>
      <c r="B6" s="8">
        <f>Inputs!B6</f>
        <v>30</v>
      </c>
      <c r="D6" t="s">
        <v>46</v>
      </c>
      <c r="E6" s="7">
        <f>Inputs!B4+(Inputs!B5*Inputs!B6)</f>
        <v>160000</v>
      </c>
      <c r="F6" s="7">
        <f>E6</f>
        <v>160000</v>
      </c>
      <c r="G6" s="7">
        <f>F6-E6</f>
        <v>0</v>
      </c>
      <c r="H6" t="s">
        <v>47</v>
      </c>
    </row>
    <row r="7" spans="1:8" ht="15">
      <c r="A7" s="6" t="s">
        <v>13</v>
      </c>
      <c r="B7" s="5">
        <f>Inputs!B7</f>
        <v>0.08</v>
      </c>
      <c r="D7" t="s">
        <v>48</v>
      </c>
      <c r="E7" s="7">
        <f>E5-E6</f>
        <v>316443.29866980348</v>
      </c>
      <c r="F7" s="7">
        <f>F5-F6</f>
        <v>523825.32982166356</v>
      </c>
      <c r="G7" s="7">
        <f>F7-E7</f>
        <v>207382.03115186008</v>
      </c>
      <c r="H7" t="s">
        <v>49</v>
      </c>
    </row>
    <row r="8" spans="1:8" ht="15">
      <c r="A8" s="6" t="s">
        <v>16</v>
      </c>
      <c r="B8" s="5">
        <f>Inputs!B8</f>
        <v>0.02</v>
      </c>
      <c r="D8" t="s">
        <v>50</v>
      </c>
      <c r="E8" s="7"/>
      <c r="F8" s="7"/>
      <c r="G8" s="7">
        <f>G5</f>
        <v>207382.03115186008</v>
      </c>
      <c r="H8" t="s">
        <v>51</v>
      </c>
    </row>
    <row r="9" spans="1:8" ht="15">
      <c r="A9" s="6" t="s">
        <v>18</v>
      </c>
      <c r="B9" s="5">
        <f>Inputs!B9</f>
        <v>2E-3</v>
      </c>
      <c r="D9" t="s">
        <v>52</v>
      </c>
      <c r="G9" s="5">
        <f>G5/E5</f>
        <v>0.43527116811351169</v>
      </c>
      <c r="H9" t="s">
        <v>53</v>
      </c>
    </row>
    <row r="12" spans="1:8" ht="15">
      <c r="A12" s="1" t="s">
        <v>54</v>
      </c>
      <c r="B12" s="1" t="s">
        <v>55</v>
      </c>
      <c r="C12" s="1" t="s">
        <v>56</v>
      </c>
    </row>
    <row r="13" spans="1:8">
      <c r="A13" t="s">
        <v>39</v>
      </c>
      <c r="B13" s="7">
        <f>E5</f>
        <v>476443.29866980348</v>
      </c>
      <c r="C13" s="5">
        <f>E4</f>
        <v>0.06</v>
      </c>
    </row>
    <row r="14" spans="1:8">
      <c r="A14" t="s">
        <v>40</v>
      </c>
      <c r="B14" s="7">
        <f>F5</f>
        <v>683825.32982166356</v>
      </c>
      <c r="C14" s="5">
        <f>F4</f>
        <v>7.8E-2</v>
      </c>
    </row>
    <row r="15" spans="1:8">
      <c r="A15" t="s">
        <v>41</v>
      </c>
      <c r="B15" s="7">
        <f>G5</f>
        <v>207382.03115186008</v>
      </c>
      <c r="C15" s="5">
        <f>G4</f>
        <v>1.8000000000000002E-2</v>
      </c>
    </row>
    <row r="17" spans="1:3" ht="15">
      <c r="A17" s="15" t="s">
        <v>57</v>
      </c>
      <c r="B17" s="15"/>
      <c r="C17" s="15"/>
    </row>
    <row r="18" spans="1:3" ht="30">
      <c r="A18" s="13" t="s">
        <v>58</v>
      </c>
      <c r="B18" s="13"/>
      <c r="C18" s="13"/>
    </row>
    <row r="19" spans="1:3" ht="30">
      <c r="A19" s="13" t="s">
        <v>59</v>
      </c>
      <c r="B19" s="13"/>
      <c r="C19" s="13"/>
    </row>
    <row r="20" spans="1:3" ht="15">
      <c r="A20" s="13" t="s">
        <v>60</v>
      </c>
      <c r="B20" s="13"/>
      <c r="C20" s="13"/>
    </row>
  </sheetData>
  <mergeCells count="2">
    <mergeCell ref="A1:H1"/>
    <mergeCell ref="A17:C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zoomScale="183" zoomScaleNormal="183" workbookViewId="0">
      <selection sqref="A1:D1"/>
    </sheetView>
  </sheetViews>
  <sheetFormatPr baseColWidth="10" defaultColWidth="8.83203125" defaultRowHeight="14"/>
  <cols>
    <col min="1" max="1" width="55" customWidth="1"/>
    <col min="2" max="2" width="28" customWidth="1"/>
    <col min="3" max="3" width="14" customWidth="1"/>
    <col min="4" max="4" width="50" customWidth="1"/>
  </cols>
  <sheetData>
    <row r="1" spans="1:4" ht="18">
      <c r="A1" s="14" t="s">
        <v>61</v>
      </c>
      <c r="B1" s="14"/>
      <c r="C1" s="14"/>
      <c r="D1" s="14"/>
    </row>
    <row r="3" spans="1:4" ht="15">
      <c r="A3" s="1" t="s">
        <v>62</v>
      </c>
      <c r="B3" s="1" t="s">
        <v>63</v>
      </c>
      <c r="C3" s="1" t="s">
        <v>64</v>
      </c>
      <c r="D3" s="1" t="s">
        <v>4</v>
      </c>
    </row>
    <row r="4" spans="1:4">
      <c r="A4">
        <v>1</v>
      </c>
      <c r="B4" t="s">
        <v>65</v>
      </c>
      <c r="C4" t="s">
        <v>66</v>
      </c>
      <c r="D4" t="s">
        <v>67</v>
      </c>
    </row>
    <row r="5" spans="1:4">
      <c r="A5">
        <v>2</v>
      </c>
      <c r="B5" t="s">
        <v>68</v>
      </c>
      <c r="C5" t="s">
        <v>69</v>
      </c>
      <c r="D5" t="s">
        <v>70</v>
      </c>
    </row>
    <row r="6" spans="1:4">
      <c r="A6">
        <v>3</v>
      </c>
      <c r="B6" t="s">
        <v>71</v>
      </c>
      <c r="C6" t="s">
        <v>72</v>
      </c>
      <c r="D6" t="s">
        <v>73</v>
      </c>
    </row>
    <row r="7" spans="1:4">
      <c r="A7">
        <v>4</v>
      </c>
      <c r="B7" t="s">
        <v>74</v>
      </c>
      <c r="C7" t="s">
        <v>72</v>
      </c>
      <c r="D7" t="s">
        <v>75</v>
      </c>
    </row>
    <row r="9" spans="1:4" ht="15">
      <c r="A9" s="15" t="s">
        <v>76</v>
      </c>
      <c r="B9" s="15"/>
      <c r="C9" s="15"/>
      <c r="D9" s="15"/>
    </row>
    <row r="10" spans="1:4">
      <c r="A10" s="16" t="s">
        <v>77</v>
      </c>
      <c r="B10" s="16"/>
      <c r="C10" s="16"/>
      <c r="D10" s="16"/>
    </row>
    <row r="11" spans="1:4">
      <c r="A11" s="16"/>
      <c r="B11" s="16"/>
      <c r="C11" s="16"/>
      <c r="D11" s="16"/>
    </row>
    <row r="12" spans="1:4">
      <c r="A12" s="16"/>
      <c r="B12" s="16"/>
      <c r="C12" s="16"/>
      <c r="D12" s="16"/>
    </row>
  </sheetData>
  <mergeCells count="3">
    <mergeCell ref="A1:D1"/>
    <mergeCell ref="A9:D9"/>
    <mergeCell ref="A10:D12"/>
  </mergeCells>
  <pageMargins left="0.7" right="0.7" top="0.75" bottom="0.75" header="0.3" footer="0.3"/>
</worksheet>
</file>

<file path=docMetadata/LabelInfo.xml><?xml version="1.0" encoding="utf-8"?>
<clbl:labelList xmlns:clbl="http://schemas.microsoft.com/office/2020/mipLabelMetadata">
  <clbl:label id="{7893ce20-a697-4fd6-a4da-14011f6a471d}" enabled="1" method="Standard" siteId="{a8eec281-aaa3-4dae-ac9b-9a398b9215e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Inputs</vt:lpstr>
      <vt:lpstr>Yearly Calculation</vt:lpstr>
      <vt:lpstr>Dashboard</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Mandal, Sohom</cp:lastModifiedBy>
  <dcterms:modified xsi:type="dcterms:W3CDTF">2026-06-12T15:50:25Z</dcterms:modified>
</cp:coreProperties>
</file>